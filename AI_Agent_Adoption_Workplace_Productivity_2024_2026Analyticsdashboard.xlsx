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https://d.docs.live.net/8962B785C3974A41/ドキュメント/vaishnavi/"/>
    </mc:Choice>
  </mc:AlternateContent>
  <xr:revisionPtr revIDLastSave="1399" documentId="8_{25BFF616-7DEB-4CE1-A05F-1F0C44225BF6}" xr6:coauthVersionLast="47" xr6:coauthVersionMax="47" xr10:uidLastSave="{BBB7CB51-809A-4051-803E-6844B9A3369A}"/>
  <bookViews>
    <workbookView xWindow="-108" yWindow="-108" windowWidth="23256" windowHeight="12456" activeTab="1" xr2:uid="{870A4531-F4F8-477E-8BDE-26E2E233F59E}"/>
  </bookViews>
  <sheets>
    <sheet name="KPI CARDS AND PIVOT TABLES" sheetId="3" r:id="rId1"/>
    <sheet name="Dashboard" sheetId="4" r:id="rId2"/>
    <sheet name="AI_Agent_Adoption_Workplace_Pro" sheetId="1" r:id="rId3"/>
  </sheets>
  <definedNames>
    <definedName name="Slicer_AI_Agent_Usage">#N/A</definedName>
    <definedName name="Slicer_Country">#N/A</definedName>
    <definedName name="Slicer_Industry">#N/A</definedName>
    <definedName name="Slicer_Job_Role">#N/A</definedName>
    <definedName name="Slicer_Year">#N/A</definedName>
  </definedNames>
  <calcPr calcId="0"/>
  <pivotCaches>
    <pivotCache cacheId="28"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B15" i="3" l="1"/>
  <c r="B13" i="3"/>
  <c r="B11" i="3"/>
  <c r="B9" i="3"/>
  <c r="B7" i="3"/>
  <c r="B5" i="3"/>
  <c r="B3" i="3"/>
</calcChain>
</file>

<file path=xl/sharedStrings.xml><?xml version="1.0" encoding="utf-8"?>
<sst xmlns="http://schemas.openxmlformats.org/spreadsheetml/2006/main" count="6866" uniqueCount="696">
  <si>
    <t>Record_ID</t>
  </si>
  <si>
    <t>Year</t>
  </si>
  <si>
    <t>Country</t>
  </si>
  <si>
    <t>Industry</t>
  </si>
  <si>
    <t>Company_Size</t>
  </si>
  <si>
    <t>Job_Role</t>
  </si>
  <si>
    <t>Age_Group</t>
  </si>
  <si>
    <t>AI_Agent_Usage</t>
  </si>
  <si>
    <t>AI_Agent_Type</t>
  </si>
  <si>
    <t>Tasks_Automated</t>
  </si>
  <si>
    <t>Hours_Saved_Per_Week</t>
  </si>
  <si>
    <t>Productivity_Change_Percent</t>
  </si>
  <si>
    <t>AI_Skill_Level</t>
  </si>
  <si>
    <t>Training_Hours</t>
  </si>
  <si>
    <t>Monthly_AI_Cost</t>
  </si>
  <si>
    <t>Job_Satisfaction</t>
  </si>
  <si>
    <t>Workload_Level</t>
  </si>
  <si>
    <t>Trust_in_AI</t>
  </si>
  <si>
    <t>Human_AI_Collaboration</t>
  </si>
  <si>
    <t>Error_Rate</t>
  </si>
  <si>
    <t>Job_Risk_Level</t>
  </si>
  <si>
    <t>Overall_AI_Impact</t>
  </si>
  <si>
    <t>AIW-0001</t>
  </si>
  <si>
    <t>France</t>
  </si>
  <si>
    <t>Finance &amp; Banking</t>
  </si>
  <si>
    <t>Enterprise (1000+)</t>
  </si>
  <si>
    <t>Sales Representative</t>
  </si>
  <si>
    <t>35-44</t>
  </si>
  <si>
    <t>High</t>
  </si>
  <si>
    <t>WORKFLOW AUTOMATION AGENT</t>
  </si>
  <si>
    <t>Intermediate</t>
  </si>
  <si>
    <t>Moderate</t>
  </si>
  <si>
    <t>Positive</t>
  </si>
  <si>
    <t>AIW-0002</t>
  </si>
  <si>
    <t>Germany</t>
  </si>
  <si>
    <t>Energy &amp; Utilities</t>
  </si>
  <si>
    <t>Medium (51-250)</t>
  </si>
  <si>
    <t>Software Engineer</t>
  </si>
  <si>
    <t>45-54</t>
  </si>
  <si>
    <t>Very High</t>
  </si>
  <si>
    <t>Coding Agent</t>
  </si>
  <si>
    <t>Low</t>
  </si>
  <si>
    <t>AIW-0003</t>
  </si>
  <si>
    <t>Logistics &amp; Supply Chain</t>
  </si>
  <si>
    <t>Legal &amp; Compliance Officer</t>
  </si>
  <si>
    <t>55+</t>
  </si>
  <si>
    <t>Data Processing Agent</t>
  </si>
  <si>
    <t>Beginner</t>
  </si>
  <si>
    <t>AIW-0004</t>
  </si>
  <si>
    <t>Content Generation Agent</t>
  </si>
  <si>
    <t>Advanced</t>
  </si>
  <si>
    <t>Neutral</t>
  </si>
  <si>
    <t>AIW-0005</t>
  </si>
  <si>
    <t>India</t>
  </si>
  <si>
    <t>HR Specialist</t>
  </si>
  <si>
    <t>25-34</t>
  </si>
  <si>
    <t>Scheduling &amp; Admin Agent</t>
  </si>
  <si>
    <t>AIW-0006</t>
  </si>
  <si>
    <t>United Arab Emirates</t>
  </si>
  <si>
    <t>Consulting &amp; Professional Services</t>
  </si>
  <si>
    <t>Customer Support Agent</t>
  </si>
  <si>
    <t>Customer Service Agent</t>
  </si>
  <si>
    <t>AIW-0007</t>
  </si>
  <si>
    <t>Manufacturing</t>
  </si>
  <si>
    <t>Financial Analyst</t>
  </si>
  <si>
    <t>Research &amp; Analysis Agent</t>
  </si>
  <si>
    <t xml:space="preserve">Positive </t>
  </si>
  <si>
    <t>AIW-0008</t>
  </si>
  <si>
    <t>Netherlands</t>
  </si>
  <si>
    <t>Healthcare</t>
  </si>
  <si>
    <t>Product Manager</t>
  </si>
  <si>
    <t>Multi-Agent System</t>
  </si>
  <si>
    <t>Highly Positive</t>
  </si>
  <si>
    <t>AIW-0009</t>
  </si>
  <si>
    <t>United States</t>
  </si>
  <si>
    <t>Marketing Specialist</t>
  </si>
  <si>
    <t>18-24</t>
  </si>
  <si>
    <t>AIW-0010</t>
  </si>
  <si>
    <t xml:space="preserve">Australia </t>
  </si>
  <si>
    <t>AIW-0011</t>
  </si>
  <si>
    <t>Brazil</t>
  </si>
  <si>
    <t>Technology</t>
  </si>
  <si>
    <t>Large (251-1000)</t>
  </si>
  <si>
    <t>AIW-0012</t>
  </si>
  <si>
    <t>Singapore</t>
  </si>
  <si>
    <t>Government &amp; Public Sector</t>
  </si>
  <si>
    <t>Small (1-50)</t>
  </si>
  <si>
    <t>Operations Manager</t>
  </si>
  <si>
    <t>AIW-0013</t>
  </si>
  <si>
    <t>Telecommunications</t>
  </si>
  <si>
    <t>Workflow Automation Agent</t>
  </si>
  <si>
    <t>Excellent</t>
  </si>
  <si>
    <t xml:space="preserve">Highly Positive </t>
  </si>
  <si>
    <t>AIW-0014</t>
  </si>
  <si>
    <t>Australia</t>
  </si>
  <si>
    <t>45â€“54</t>
  </si>
  <si>
    <t>LOW</t>
  </si>
  <si>
    <t>AIW-0015</t>
  </si>
  <si>
    <t>Project Manager</t>
  </si>
  <si>
    <t>AIW-0016</t>
  </si>
  <si>
    <t>AIW-0017</t>
  </si>
  <si>
    <t>Mexico</t>
  </si>
  <si>
    <t>Education</t>
  </si>
  <si>
    <t>AIW-0018</t>
  </si>
  <si>
    <t>Canada</t>
  </si>
  <si>
    <t>Content Writer / Editor</t>
  </si>
  <si>
    <t>AIW-0019</t>
  </si>
  <si>
    <t>AIW-0020</t>
  </si>
  <si>
    <t>PAKISTAN</t>
  </si>
  <si>
    <t>neutral</t>
  </si>
  <si>
    <t>AIW-0021</t>
  </si>
  <si>
    <t>Large</t>
  </si>
  <si>
    <t>AIW-0022</t>
  </si>
  <si>
    <t>Healthcare Administrator</t>
  </si>
  <si>
    <t>No Usage</t>
  </si>
  <si>
    <t>No Agent</t>
  </si>
  <si>
    <t>AIW-0023</t>
  </si>
  <si>
    <t>Pakistan</t>
  </si>
  <si>
    <t>AIW-0024</t>
  </si>
  <si>
    <t>AIW-0025</t>
  </si>
  <si>
    <t>Administrative Assistant</t>
  </si>
  <si>
    <t>AIW-0026</t>
  </si>
  <si>
    <t>Mid</t>
  </si>
  <si>
    <t>AIW-0027</t>
  </si>
  <si>
    <t>AIW-0028</t>
  </si>
  <si>
    <t>Negative</t>
  </si>
  <si>
    <t>AIW-0029</t>
  </si>
  <si>
    <t>AIW-0030</t>
  </si>
  <si>
    <t>AIW-0031</t>
  </si>
  <si>
    <t>Nigeria</t>
  </si>
  <si>
    <t>AIW-0032</t>
  </si>
  <si>
    <t>AIW-0033</t>
  </si>
  <si>
    <t>Data Analyst</t>
  </si>
  <si>
    <t>AIW-0034</t>
  </si>
  <si>
    <t>United Kingdom</t>
  </si>
  <si>
    <t>AIW-0035</t>
  </si>
  <si>
    <t>AIW-0036</t>
  </si>
  <si>
    <t>AIW-0037</t>
  </si>
  <si>
    <t>technology</t>
  </si>
  <si>
    <t>AIW-0038</t>
  </si>
  <si>
    <t>AIW-0039</t>
  </si>
  <si>
    <t>Teacher / Trainer</t>
  </si>
  <si>
    <t>AIW-0040</t>
  </si>
  <si>
    <t>AIW-0041</t>
  </si>
  <si>
    <t>Expert</t>
  </si>
  <si>
    <t>AIW-0042</t>
  </si>
  <si>
    <t>AIW-0043</t>
  </si>
  <si>
    <t>AIW-0044</t>
  </si>
  <si>
    <t>25â€“34</t>
  </si>
  <si>
    <t>customer service agent</t>
  </si>
  <si>
    <t>AIW-0045</t>
  </si>
  <si>
    <t>AIW-0046</t>
  </si>
  <si>
    <t>Human Resources Specialist</t>
  </si>
  <si>
    <t>AIW-0047</t>
  </si>
  <si>
    <t>AIW-0048</t>
  </si>
  <si>
    <t>AIW-0049</t>
  </si>
  <si>
    <t>Retail &amp; E-commerce</t>
  </si>
  <si>
    <t>AIW-0050</t>
  </si>
  <si>
    <t>AIW-0051</t>
  </si>
  <si>
    <t>AIW-0052</t>
  </si>
  <si>
    <t>AIW-0053</t>
  </si>
  <si>
    <t>AIW-0054</t>
  </si>
  <si>
    <t>AIW-0055</t>
  </si>
  <si>
    <t>AIW-0056</t>
  </si>
  <si>
    <t>AIW-0057</t>
  </si>
  <si>
    <t>AIW-0058</t>
  </si>
  <si>
    <t>IT / Technology</t>
  </si>
  <si>
    <t>AIW-0059</t>
  </si>
  <si>
    <t>AIW-0060</t>
  </si>
  <si>
    <t>U.K.</t>
  </si>
  <si>
    <t>AIW-0061</t>
  </si>
  <si>
    <t>AIW-0062</t>
  </si>
  <si>
    <t>enterprise (1000+)</t>
  </si>
  <si>
    <t>AIW-0063</t>
  </si>
  <si>
    <t>low</t>
  </si>
  <si>
    <t>AIW-0064</t>
  </si>
  <si>
    <t>AIW-0065</t>
  </si>
  <si>
    <t>AIW-0066</t>
  </si>
  <si>
    <t>AIW-0067</t>
  </si>
  <si>
    <t>AIW-0068</t>
  </si>
  <si>
    <t>AIW-0069</t>
  </si>
  <si>
    <t>AIW-0070</t>
  </si>
  <si>
    <t>AIW-0071</t>
  </si>
  <si>
    <t>AIW-0072</t>
  </si>
  <si>
    <t>AIW-0073</t>
  </si>
  <si>
    <t>AIW-0074</t>
  </si>
  <si>
    <t>AIW-0075</t>
  </si>
  <si>
    <t>AIW-0076</t>
  </si>
  <si>
    <t>AIW-0077</t>
  </si>
  <si>
    <t>AIW-0078</t>
  </si>
  <si>
    <t>Mid-size (51-250)</t>
  </si>
  <si>
    <t>AIW-0079</t>
  </si>
  <si>
    <t>AIW-0080</t>
  </si>
  <si>
    <t>Large Enterprise (1000+)</t>
  </si>
  <si>
    <t>AIW-0081</t>
  </si>
  <si>
    <t>AIW-0082</t>
  </si>
  <si>
    <t>South Africa</t>
  </si>
  <si>
    <t>35 to 44</t>
  </si>
  <si>
    <t>AIW-0083</t>
  </si>
  <si>
    <t>AIW-0084</t>
  </si>
  <si>
    <t>United States of America</t>
  </si>
  <si>
    <t>AIW-0085</t>
  </si>
  <si>
    <t>AIW-0086</t>
  </si>
  <si>
    <t>AIW-0087</t>
  </si>
  <si>
    <t>AIW-0088</t>
  </si>
  <si>
    <t>AIW-0089</t>
  </si>
  <si>
    <t>AIW-0090</t>
  </si>
  <si>
    <t>AIW-0091</t>
  </si>
  <si>
    <t>finance &amp; banking</t>
  </si>
  <si>
    <t>AIW-0092</t>
  </si>
  <si>
    <t>AIW-0093</t>
  </si>
  <si>
    <t>AIW-0094</t>
  </si>
  <si>
    <t>AIW-0095</t>
  </si>
  <si>
    <t>AIW-0096</t>
  </si>
  <si>
    <t>AIW-0097</t>
  </si>
  <si>
    <t>AIW-0098</t>
  </si>
  <si>
    <t>AIW-0099</t>
  </si>
  <si>
    <t>Japan</t>
  </si>
  <si>
    <t>AIW-0100</t>
  </si>
  <si>
    <t>AIW-0101</t>
  </si>
  <si>
    <t>SWE</t>
  </si>
  <si>
    <t>AIW-0102</t>
  </si>
  <si>
    <t>AIW-0103</t>
  </si>
  <si>
    <t>AIW-0104</t>
  </si>
  <si>
    <t>AIW-0105</t>
  </si>
  <si>
    <t>AIW-0106</t>
  </si>
  <si>
    <t>AIW-0107</t>
  </si>
  <si>
    <t>AIW-0108</t>
  </si>
  <si>
    <t>AIW-0109</t>
  </si>
  <si>
    <t>AIW-0110</t>
  </si>
  <si>
    <t>AIW-0111</t>
  </si>
  <si>
    <t>AIW-0112</t>
  </si>
  <si>
    <t>AIW-0113</t>
  </si>
  <si>
    <t>AIW-0114</t>
  </si>
  <si>
    <t>AIW-0115</t>
  </si>
  <si>
    <t>AIW-0116</t>
  </si>
  <si>
    <t>AIW-0117</t>
  </si>
  <si>
    <t>AIW-0118</t>
  </si>
  <si>
    <t>AIW-0119</t>
  </si>
  <si>
    <t>AIW-0120</t>
  </si>
  <si>
    <t>AIW-0121</t>
  </si>
  <si>
    <t xml:space="preserve"> Coding Agent</t>
  </si>
  <si>
    <t>AIW-0122</t>
  </si>
  <si>
    <t>AIW-0123</t>
  </si>
  <si>
    <t>AIW-0124</t>
  </si>
  <si>
    <t>AIW-0125</t>
  </si>
  <si>
    <t>AIW-0126</t>
  </si>
  <si>
    <t>AIW-0127</t>
  </si>
  <si>
    <t>AIW-0128</t>
  </si>
  <si>
    <t>AIW-0129</t>
  </si>
  <si>
    <t>AIW-0130</t>
  </si>
  <si>
    <t>AIW-0131</t>
  </si>
  <si>
    <t>AIW-0132</t>
  </si>
  <si>
    <t>small (1-50)</t>
  </si>
  <si>
    <t>AIW-0133</t>
  </si>
  <si>
    <t>AIW-0134</t>
  </si>
  <si>
    <t>AIW-0135</t>
  </si>
  <si>
    <t>AIW-0136</t>
  </si>
  <si>
    <t xml:space="preserve"> Singapore</t>
  </si>
  <si>
    <t>VERY HIGH</t>
  </si>
  <si>
    <t>AIW-0137</t>
  </si>
  <si>
    <t>AIW-0138</t>
  </si>
  <si>
    <t>AIW-0139</t>
  </si>
  <si>
    <t>AIW-0140</t>
  </si>
  <si>
    <t>AIW-0141</t>
  </si>
  <si>
    <t>AIW-0142</t>
  </si>
  <si>
    <t>AIW-0143</t>
  </si>
  <si>
    <t>AIW-0144</t>
  </si>
  <si>
    <t>AIW-0145</t>
  </si>
  <si>
    <t>AIW-0146</t>
  </si>
  <si>
    <t>AIW-0147</t>
  </si>
  <si>
    <t>Finance Analyst</t>
  </si>
  <si>
    <t>AIW-0148</t>
  </si>
  <si>
    <t>united kingdom</t>
  </si>
  <si>
    <t>AIW-0149</t>
  </si>
  <si>
    <t>AIW-0150</t>
  </si>
  <si>
    <t>AIW-0151</t>
  </si>
  <si>
    <t>AIW-0152</t>
  </si>
  <si>
    <t>AIW-0153</t>
  </si>
  <si>
    <t>AIW-0154</t>
  </si>
  <si>
    <t>highly positive</t>
  </si>
  <si>
    <t>AIW-0155</t>
  </si>
  <si>
    <t>AIW-0156</t>
  </si>
  <si>
    <t>AIW-0157</t>
  </si>
  <si>
    <t>AIW-0158</t>
  </si>
  <si>
    <t>AIW-0159</t>
  </si>
  <si>
    <t>AIW-0160</t>
  </si>
  <si>
    <t>AIW-0161</t>
  </si>
  <si>
    <t>advanced</t>
  </si>
  <si>
    <t>AIW-0162</t>
  </si>
  <si>
    <t>AIW-0163</t>
  </si>
  <si>
    <t>high</t>
  </si>
  <si>
    <t>AIW-0164</t>
  </si>
  <si>
    <t>AIW-0165</t>
  </si>
  <si>
    <t>AIW-0166</t>
  </si>
  <si>
    <t>AIW-0167</t>
  </si>
  <si>
    <t>AIW-0168</t>
  </si>
  <si>
    <t>AIW-0169</t>
  </si>
  <si>
    <t>AIW-0170</t>
  </si>
  <si>
    <t>CUSTOMER SERVICE AGENT</t>
  </si>
  <si>
    <t>AIW-0171</t>
  </si>
  <si>
    <t>AIW-0172</t>
  </si>
  <si>
    <t xml:space="preserve">Canada </t>
  </si>
  <si>
    <t>AIW-0173</t>
  </si>
  <si>
    <t>AIW-0174</t>
  </si>
  <si>
    <t>AIW-0175</t>
  </si>
  <si>
    <t>AIW-0176</t>
  </si>
  <si>
    <t>AIW-0177</t>
  </si>
  <si>
    <t>AIW-0178</t>
  </si>
  <si>
    <t>AIW-0179</t>
  </si>
  <si>
    <t>AIW-0180</t>
  </si>
  <si>
    <t>AIW-0181</t>
  </si>
  <si>
    <t>AIW-0182</t>
  </si>
  <si>
    <t>AIW-0183</t>
  </si>
  <si>
    <t>positive</t>
  </si>
  <si>
    <t>AIW-0184</t>
  </si>
  <si>
    <t>AIW-0185</t>
  </si>
  <si>
    <t>AIW-0186</t>
  </si>
  <si>
    <t>AIW-0187</t>
  </si>
  <si>
    <t>AIW-0188</t>
  </si>
  <si>
    <t>AIW-0189</t>
  </si>
  <si>
    <t>AIW-0190</t>
  </si>
  <si>
    <t>AIW-0191</t>
  </si>
  <si>
    <t>AIW-0192</t>
  </si>
  <si>
    <t>AIW-0193</t>
  </si>
  <si>
    <t>AIW-0194</t>
  </si>
  <si>
    <t>AIW-0195</t>
  </si>
  <si>
    <t>united states</t>
  </si>
  <si>
    <t>AIW-0196</t>
  </si>
  <si>
    <t>AIW-0197</t>
  </si>
  <si>
    <t>Telecom</t>
  </si>
  <si>
    <t>Medium</t>
  </si>
  <si>
    <t>AIW-0198</t>
  </si>
  <si>
    <t>AIW-0199</t>
  </si>
  <si>
    <t>AIW-0200</t>
  </si>
  <si>
    <t>AIW-0201</t>
  </si>
  <si>
    <t>AIW-0202</t>
  </si>
  <si>
    <t>AIW-0203</t>
  </si>
  <si>
    <t>AIW-0204</t>
  </si>
  <si>
    <t>AIW-0205</t>
  </si>
  <si>
    <t>Software Developer</t>
  </si>
  <si>
    <t>AIW-0206</t>
  </si>
  <si>
    <t>AIW-0207</t>
  </si>
  <si>
    <t>EXPERT</t>
  </si>
  <si>
    <t>AIW-0208</t>
  </si>
  <si>
    <t>AIW-0209</t>
  </si>
  <si>
    <t>AIW-0210</t>
  </si>
  <si>
    <t>AIW-0211</t>
  </si>
  <si>
    <t>AIW-0212</t>
  </si>
  <si>
    <t>AIW-0213</t>
  </si>
  <si>
    <t>AIW-0214</t>
  </si>
  <si>
    <t>AIW-0215</t>
  </si>
  <si>
    <t>AIW-0216</t>
  </si>
  <si>
    <t>AIW-0217</t>
  </si>
  <si>
    <t>AIW-0218</t>
  </si>
  <si>
    <t>AIW-0219</t>
  </si>
  <si>
    <t>AIW-0220</t>
  </si>
  <si>
    <t>AIW-0221</t>
  </si>
  <si>
    <t>AIW-0222</t>
  </si>
  <si>
    <t>AIW-0223</t>
  </si>
  <si>
    <t>AIW-0224</t>
  </si>
  <si>
    <t>AIW-0225</t>
  </si>
  <si>
    <t>AIW-0226</t>
  </si>
  <si>
    <t>AIW-0227</t>
  </si>
  <si>
    <t>AIW-0228</t>
  </si>
  <si>
    <t>AIW-0229</t>
  </si>
  <si>
    <t xml:space="preserve">Research &amp; Analysis Agent </t>
  </si>
  <si>
    <t>AIW-0230</t>
  </si>
  <si>
    <t>AIW-0231</t>
  </si>
  <si>
    <t>AIW-0232</t>
  </si>
  <si>
    <t>AIW-0233</t>
  </si>
  <si>
    <t>HIGH</t>
  </si>
  <si>
    <t>AIW-0234</t>
  </si>
  <si>
    <t>AIW-0235</t>
  </si>
  <si>
    <t>AIW-0236</t>
  </si>
  <si>
    <t>AIW-0237</t>
  </si>
  <si>
    <t>AIW-0238</t>
  </si>
  <si>
    <t>AIW-0239</t>
  </si>
  <si>
    <t>AIW-0240</t>
  </si>
  <si>
    <t>AIW-0241</t>
  </si>
  <si>
    <t xml:space="preserve"> Scheduling &amp; Admin Agent</t>
  </si>
  <si>
    <t>Adv.</t>
  </si>
  <si>
    <t>AIW-0242</t>
  </si>
  <si>
    <t>AIW-0243</t>
  </si>
  <si>
    <t>AIW-0244</t>
  </si>
  <si>
    <t>AIW-0245</t>
  </si>
  <si>
    <t>AIW-0246</t>
  </si>
  <si>
    <t xml:space="preserve">Singapore </t>
  </si>
  <si>
    <t>AIW-0247</t>
  </si>
  <si>
    <t>AIW-0248</t>
  </si>
  <si>
    <t>AIW-0249</t>
  </si>
  <si>
    <t>AIW-0250</t>
  </si>
  <si>
    <t>moderate</t>
  </si>
  <si>
    <t>AIW-0251</t>
  </si>
  <si>
    <t>AIW-0252</t>
  </si>
  <si>
    <t>AIW-0253</t>
  </si>
  <si>
    <t>AIW-0254</t>
  </si>
  <si>
    <t>AIW-0255</t>
  </si>
  <si>
    <t>AIW-0256</t>
  </si>
  <si>
    <t>AIW-0257</t>
  </si>
  <si>
    <t>intermediate</t>
  </si>
  <si>
    <t>AIW-0258</t>
  </si>
  <si>
    <t>AIW-0259</t>
  </si>
  <si>
    <t>AIW-0260</t>
  </si>
  <si>
    <t>AIW-0261</t>
  </si>
  <si>
    <t>AIW-0262</t>
  </si>
  <si>
    <t>Novice</t>
  </si>
  <si>
    <t>AIW-0263</t>
  </si>
  <si>
    <t>AIW-0264</t>
  </si>
  <si>
    <t>AIW-0265</t>
  </si>
  <si>
    <t>AIW-0266</t>
  </si>
  <si>
    <t>AIW-0267</t>
  </si>
  <si>
    <t>AIW-0268</t>
  </si>
  <si>
    <t>AIW-0269</t>
  </si>
  <si>
    <t>AIW-0270</t>
  </si>
  <si>
    <t>Banking &amp; Finance</t>
  </si>
  <si>
    <t>AIW-0271</t>
  </si>
  <si>
    <t>AIW-0272</t>
  </si>
  <si>
    <t>AIW-0273</t>
  </si>
  <si>
    <t>Small</t>
  </si>
  <si>
    <t>AIW-0274</t>
  </si>
  <si>
    <t>AIW-0275</t>
  </si>
  <si>
    <t xml:space="preserve">Negative </t>
  </si>
  <si>
    <t>AIW-0276</t>
  </si>
  <si>
    <t>AIW-0277</t>
  </si>
  <si>
    <t>UK</t>
  </si>
  <si>
    <t>AIW-0278</t>
  </si>
  <si>
    <t>AIW-0279</t>
  </si>
  <si>
    <t>AIW-0280</t>
  </si>
  <si>
    <t>AIW-0281</t>
  </si>
  <si>
    <t>AIW-0282</t>
  </si>
  <si>
    <t>AIW-0283</t>
  </si>
  <si>
    <t>AIW-0284</t>
  </si>
  <si>
    <t>AIW-0285</t>
  </si>
  <si>
    <t>AIW-0286</t>
  </si>
  <si>
    <t>AIW-0287</t>
  </si>
  <si>
    <t>AIW-0288</t>
  </si>
  <si>
    <t>AIW-0289</t>
  </si>
  <si>
    <t>AIW-0290</t>
  </si>
  <si>
    <t>AIW-0291</t>
  </si>
  <si>
    <t>AIW-0292</t>
  </si>
  <si>
    <t>AIW-0293</t>
  </si>
  <si>
    <t>AIW-0294</t>
  </si>
  <si>
    <t>AIW-0295</t>
  </si>
  <si>
    <t>AIW-0296</t>
  </si>
  <si>
    <t>AIW-0297</t>
  </si>
  <si>
    <t>AIW-0298</t>
  </si>
  <si>
    <t>AIW-0299</t>
  </si>
  <si>
    <t>AIW-0300</t>
  </si>
  <si>
    <t>AIW-0301</t>
  </si>
  <si>
    <t>AIW-0302</t>
  </si>
  <si>
    <t>AIW-0303</t>
  </si>
  <si>
    <t>AIW-0304</t>
  </si>
  <si>
    <t>AIW-0305</t>
  </si>
  <si>
    <t>AIW-0306</t>
  </si>
  <si>
    <t>AIW-0307</t>
  </si>
  <si>
    <t>AIW-0308</t>
  </si>
  <si>
    <t>45 to 54</t>
  </si>
  <si>
    <t>AIW-0309</t>
  </si>
  <si>
    <t>AIW-0310</t>
  </si>
  <si>
    <t>AIW-0311</t>
  </si>
  <si>
    <t>AIW-0312</t>
  </si>
  <si>
    <t>AIW-0313</t>
  </si>
  <si>
    <t>AIW-0314</t>
  </si>
  <si>
    <t>AIW-0315</t>
  </si>
  <si>
    <t>AIW-0316</t>
  </si>
  <si>
    <t>AIW-0317</t>
  </si>
  <si>
    <t>AIW-0318</t>
  </si>
  <si>
    <t>Project manager</t>
  </si>
  <si>
    <t>AIW-0319</t>
  </si>
  <si>
    <t>AIW-0320</t>
  </si>
  <si>
    <t>AIW-0321</t>
  </si>
  <si>
    <t>AIW-0322</t>
  </si>
  <si>
    <t>AIW-0323</t>
  </si>
  <si>
    <t>AIW-0324</t>
  </si>
  <si>
    <t>AIW-0325</t>
  </si>
  <si>
    <t>AIW-0326</t>
  </si>
  <si>
    <t>AIW-0327</t>
  </si>
  <si>
    <t>AIW-0328</t>
  </si>
  <si>
    <t>AIW-0329</t>
  </si>
  <si>
    <t>AIW-0330</t>
  </si>
  <si>
    <t>AIW-0331</t>
  </si>
  <si>
    <t>AIW-0332</t>
  </si>
  <si>
    <t>AIW-0333</t>
  </si>
  <si>
    <t>AIW-0334</t>
  </si>
  <si>
    <t>AIW-0335</t>
  </si>
  <si>
    <t>AIW-0336</t>
  </si>
  <si>
    <t>AIW-0337</t>
  </si>
  <si>
    <t>AIW-0338</t>
  </si>
  <si>
    <t>AIW-0339</t>
  </si>
  <si>
    <t>AIW-0340</t>
  </si>
  <si>
    <t>AIW-0341</t>
  </si>
  <si>
    <t>AIW-0342</t>
  </si>
  <si>
    <t>AIW-0343</t>
  </si>
  <si>
    <t>AIW-0344</t>
  </si>
  <si>
    <t>AIW-0345</t>
  </si>
  <si>
    <t>AIW-0346</t>
  </si>
  <si>
    <t>AIW-0347</t>
  </si>
  <si>
    <t>AIW-0348</t>
  </si>
  <si>
    <t>AIW-0349</t>
  </si>
  <si>
    <t>AIW-0350</t>
  </si>
  <si>
    <t>AIW-0351</t>
  </si>
  <si>
    <t>expert</t>
  </si>
  <si>
    <t>AIW-0352</t>
  </si>
  <si>
    <t>AIW-0353</t>
  </si>
  <si>
    <t>AIW-0354</t>
  </si>
  <si>
    <t>AIW-0355</t>
  </si>
  <si>
    <t>AIW-0356</t>
  </si>
  <si>
    <t>AIW-0357</t>
  </si>
  <si>
    <t>AIW-0358</t>
  </si>
  <si>
    <t>Retail and E-commerce</t>
  </si>
  <si>
    <t>AIW-0359</t>
  </si>
  <si>
    <t>AIW-0360</t>
  </si>
  <si>
    <t>AIW-0361</t>
  </si>
  <si>
    <t>AIW-0362</t>
  </si>
  <si>
    <t>AIW-0363</t>
  </si>
  <si>
    <t>AIW-0364</t>
  </si>
  <si>
    <t>AIW-0365</t>
  </si>
  <si>
    <t>AIW-0366</t>
  </si>
  <si>
    <t>manufacturing</t>
  </si>
  <si>
    <t>Sales</t>
  </si>
  <si>
    <t>AIW-0367</t>
  </si>
  <si>
    <t>AIW-0368</t>
  </si>
  <si>
    <t>AIW-0369</t>
  </si>
  <si>
    <t>canada</t>
  </si>
  <si>
    <t>AIW-0370</t>
  </si>
  <si>
    <t>AIW-0371</t>
  </si>
  <si>
    <t>AIW-0372</t>
  </si>
  <si>
    <t>AIW-0373</t>
  </si>
  <si>
    <t>AIW-0374</t>
  </si>
  <si>
    <t>AIW-0375</t>
  </si>
  <si>
    <t>AIW-0376</t>
  </si>
  <si>
    <t>AIW-0377</t>
  </si>
  <si>
    <t>AIW-0378</t>
  </si>
  <si>
    <t>AIW-0379</t>
  </si>
  <si>
    <t>AIW-0380</t>
  </si>
  <si>
    <t>AIW-0381</t>
  </si>
  <si>
    <t>AIW-0382</t>
  </si>
  <si>
    <t>AIW-0383</t>
  </si>
  <si>
    <t>AIW-0384</t>
  </si>
  <si>
    <t>AIW-0385</t>
  </si>
  <si>
    <t>AIW-0386</t>
  </si>
  <si>
    <t>AIW-0387</t>
  </si>
  <si>
    <t>AIW-0388</t>
  </si>
  <si>
    <t>AIW-0389</t>
  </si>
  <si>
    <t>AIW-0390</t>
  </si>
  <si>
    <t>AIW-0391</t>
  </si>
  <si>
    <t>AIW-0392</t>
  </si>
  <si>
    <t>AIW-0393</t>
  </si>
  <si>
    <t>AIW-0394</t>
  </si>
  <si>
    <t>AIW-0395</t>
  </si>
  <si>
    <t>AIW-0396</t>
  </si>
  <si>
    <t>AIW-0397</t>
  </si>
  <si>
    <t>AIW-0398</t>
  </si>
  <si>
    <t>AIW-0399</t>
  </si>
  <si>
    <t>AIW-0400</t>
  </si>
  <si>
    <t>AIW-0401</t>
  </si>
  <si>
    <t>AIW-0402</t>
  </si>
  <si>
    <t>AIW-0403</t>
  </si>
  <si>
    <t>AIW-0404</t>
  </si>
  <si>
    <t>AIW-0405</t>
  </si>
  <si>
    <t>AIW-0406</t>
  </si>
  <si>
    <t>AIW-0407</t>
  </si>
  <si>
    <t>AIW-0408</t>
  </si>
  <si>
    <t>AIW-0409</t>
  </si>
  <si>
    <t>AIW-0410</t>
  </si>
  <si>
    <t>AIW-0411</t>
  </si>
  <si>
    <t>AIW-0412</t>
  </si>
  <si>
    <t>AIW-0413</t>
  </si>
  <si>
    <t>AIW-0414</t>
  </si>
  <si>
    <t>AIW-0415</t>
  </si>
  <si>
    <t>AIW-0416</t>
  </si>
  <si>
    <t>AIW-0417</t>
  </si>
  <si>
    <t>AIW-0418</t>
  </si>
  <si>
    <t>AIW-0419</t>
  </si>
  <si>
    <t>AIW-0420</t>
  </si>
  <si>
    <t>AIW-0421</t>
  </si>
  <si>
    <t>AIW-0422</t>
  </si>
  <si>
    <t>AIW-0423</t>
  </si>
  <si>
    <t>AIW-0424</t>
  </si>
  <si>
    <t>AIW-0425</t>
  </si>
  <si>
    <t>Professional Services</t>
  </si>
  <si>
    <t>AIW-0426</t>
  </si>
  <si>
    <t>AIW-0427</t>
  </si>
  <si>
    <t>AIW-0428</t>
  </si>
  <si>
    <t>AIW-0429</t>
  </si>
  <si>
    <t>AIW-0430</t>
  </si>
  <si>
    <t>MODERATE</t>
  </si>
  <si>
    <t>AIW-0431</t>
  </si>
  <si>
    <t>AIW-0432</t>
  </si>
  <si>
    <t>AIW-0433</t>
  </si>
  <si>
    <t>Enterprise</t>
  </si>
  <si>
    <t>AIW-0434</t>
  </si>
  <si>
    <t>AIW-0435</t>
  </si>
  <si>
    <t>AIW-0436</t>
  </si>
  <si>
    <t>AIW-0437</t>
  </si>
  <si>
    <t>AIW-0438</t>
  </si>
  <si>
    <t>AIW-0439</t>
  </si>
  <si>
    <t>AIW-0440</t>
  </si>
  <si>
    <t>AIW-0441</t>
  </si>
  <si>
    <t>AIW-0442</t>
  </si>
  <si>
    <t>AIW-0443</t>
  </si>
  <si>
    <t>AIW-0444</t>
  </si>
  <si>
    <t>AIW-0445</t>
  </si>
  <si>
    <t>AIW-0446</t>
  </si>
  <si>
    <t>AIW-0447</t>
  </si>
  <si>
    <t>AIW-0448</t>
  </si>
  <si>
    <t>AIW-0449</t>
  </si>
  <si>
    <t>AIW-0450</t>
  </si>
  <si>
    <t>AIW-0451</t>
  </si>
  <si>
    <t>AIW-0452</t>
  </si>
  <si>
    <t>AIW-0453</t>
  </si>
  <si>
    <t>AIW-0454</t>
  </si>
  <si>
    <t>AIW-0455</t>
  </si>
  <si>
    <t>AIW-0456</t>
  </si>
  <si>
    <t>Retail</t>
  </si>
  <si>
    <t>AIW-0457</t>
  </si>
  <si>
    <t>AIW-0458</t>
  </si>
  <si>
    <t>AIW-0459</t>
  </si>
  <si>
    <t>AIW-0460</t>
  </si>
  <si>
    <t>AIW-0461</t>
  </si>
  <si>
    <t>AIW-0462</t>
  </si>
  <si>
    <t>AIW-0463</t>
  </si>
  <si>
    <t>AIW-0464</t>
  </si>
  <si>
    <t>AIW-0465</t>
  </si>
  <si>
    <t>AIW-0466</t>
  </si>
  <si>
    <t>AIW-0467</t>
  </si>
  <si>
    <t>AIW-0468</t>
  </si>
  <si>
    <t>AIW-0469</t>
  </si>
  <si>
    <t xml:space="preserve">High </t>
  </si>
  <si>
    <t>AIW-0470</t>
  </si>
  <si>
    <t>AIW-0471</t>
  </si>
  <si>
    <t>AIW-0472</t>
  </si>
  <si>
    <t>AIW-0473</t>
  </si>
  <si>
    <t>AIW-0474</t>
  </si>
  <si>
    <t>AIW-0475</t>
  </si>
  <si>
    <t>AIW-0476</t>
  </si>
  <si>
    <t>AIW-0477</t>
  </si>
  <si>
    <t>AIW-0478</t>
  </si>
  <si>
    <t>AIW-0479</t>
  </si>
  <si>
    <t>AIW-0480</t>
  </si>
  <si>
    <t>AIW-0481</t>
  </si>
  <si>
    <t>AIW-0482</t>
  </si>
  <si>
    <t xml:space="preserve">France </t>
  </si>
  <si>
    <t>AIW-0483</t>
  </si>
  <si>
    <t>AIW-0484</t>
  </si>
  <si>
    <t>AIW-0485</t>
  </si>
  <si>
    <t>AIW-0486</t>
  </si>
  <si>
    <t>AIW-0487</t>
  </si>
  <si>
    <t>AIW-0488</t>
  </si>
  <si>
    <t>AIW-0489</t>
  </si>
  <si>
    <t>AIW-0490</t>
  </si>
  <si>
    <t>AIW-0491</t>
  </si>
  <si>
    <t>AIW-0492</t>
  </si>
  <si>
    <t>AIW-0493</t>
  </si>
  <si>
    <t>AIW-0494</t>
  </si>
  <si>
    <t>AIW-0495</t>
  </si>
  <si>
    <t>AIW-0496</t>
  </si>
  <si>
    <t>AIW-0497</t>
  </si>
  <si>
    <t>AIW-0498</t>
  </si>
  <si>
    <t>AIW-0499</t>
  </si>
  <si>
    <t>AIW-0500</t>
  </si>
  <si>
    <t>AIW-0501</t>
  </si>
  <si>
    <t>AIW-0502</t>
  </si>
  <si>
    <t>AIW-0503</t>
  </si>
  <si>
    <t>AIW-0504</t>
  </si>
  <si>
    <t>AIW-0505</t>
  </si>
  <si>
    <t>AIW-0506</t>
  </si>
  <si>
    <t>AIW-0507</t>
  </si>
  <si>
    <t>AIW-0508</t>
  </si>
  <si>
    <t>AIW-0509</t>
  </si>
  <si>
    <t>AIW-0510</t>
  </si>
  <si>
    <t>AIW-0511</t>
  </si>
  <si>
    <t>AIW-0512</t>
  </si>
  <si>
    <t>AIW-0513</t>
  </si>
  <si>
    <t>AIW-0514</t>
  </si>
  <si>
    <t>AIW-0515</t>
  </si>
  <si>
    <t>AIW-0516</t>
  </si>
  <si>
    <t>AIW-0517</t>
  </si>
  <si>
    <t>AIW-0518</t>
  </si>
  <si>
    <t>AIW-0519</t>
  </si>
  <si>
    <t>AIW-0520</t>
  </si>
  <si>
    <t>AIW-0521</t>
  </si>
  <si>
    <t>AIW-0522</t>
  </si>
  <si>
    <t>AIW-0523</t>
  </si>
  <si>
    <t>Row Labels</t>
  </si>
  <si>
    <t>Grand Total</t>
  </si>
  <si>
    <t>Count of Record_ID</t>
  </si>
  <si>
    <t>Average of Hours_Saved_Per_Week</t>
  </si>
  <si>
    <t>Average of Error_Rate</t>
  </si>
  <si>
    <t>Average of Job_Satisfaction</t>
  </si>
  <si>
    <t>Average of Monthly_AI_Cost</t>
  </si>
  <si>
    <t>Sum of Training_Hours</t>
  </si>
  <si>
    <t>Sum of Productivity_Change_Percent</t>
  </si>
  <si>
    <t>Average of Productivity_Change_Percent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</si>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</sst>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_ &quot;₹&quot;\ * #,##0.0_ ;_ &quot;₹&quot;\ * \-#,##0.0_ ;_ &quot;₹&quot;\ * &quot;-&quot;?_ ;_ @_ "/>
    <numFmt numFmtId="166" formatCode="&quot;₹&quot;\ #,##0.00"/>
    <numFmt numFmtId="167" formatCode="&quot;₹&quot;\ #,##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2" fontId="0" fillId="0" borderId="0" xfId="0" applyNumberFormat="1"/>
    <xf numFmtId="164" fontId="0" fillId="0" borderId="0" xfId="1" applyNumberFormat="1" applyFont="1"/>
    <xf numFmtId="165" fontId="0" fillId="0" borderId="0" xfId="0" applyNumberFormat="1"/>
    <xf numFmtId="166" fontId="0" fillId="0" borderId="0" xfId="0" applyNumberFormat="1"/>
    <xf numFmtId="167"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
    <dxf>
      <fill>
        <patternFill>
          <bgColor rgb="FFEAF1F8"/>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Slicer Style 1" pivot="0" table="0" count="1" xr9:uid="{B2C9896B-56BD-422B-9EBB-C0B82DC0EDF0}">
      <tableStyleElement type="wholeTable" dxfId="0"/>
    </tableStyle>
  </tableStyles>
  <colors>
    <mruColors>
      <color rgb="FFEAF1F8"/>
      <color rgb="FF4F81BD"/>
      <color rgb="FFFFFFFF"/>
      <color rgb="FF0F9D9A"/>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[AI_Agent_Adoption_Workplace_Productivity_2024_2026Analyticsdashboard.xlsx]KPI CARDS AND PIVOT 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AI</a:t>
            </a:r>
            <a:r>
              <a:rPr lang="en-US" baseline="0"/>
              <a:t> Agent Adoption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CARDS AND PIVOT 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CARDS AND PIVOT TABLES'!$D$4:$D$8</c:f>
              <c:strCache>
                <c:ptCount val="4"/>
                <c:pt idx="0">
                  <c:v>High</c:v>
                </c:pt>
                <c:pt idx="1">
                  <c:v>Low</c:v>
                </c:pt>
                <c:pt idx="2">
                  <c:v>Moderate</c:v>
                </c:pt>
                <c:pt idx="3">
                  <c:v>Very High</c:v>
                </c:pt>
              </c:strCache>
            </c:strRef>
          </c:cat>
          <c:val>
            <c:numRef>
              <c:f>'KPI CARDS AND PIVOT TABLES'!$E$4:$E$8</c:f>
              <c:numCache>
                <c:formatCode>General</c:formatCode>
                <c:ptCount val="4"/>
                <c:pt idx="0">
                  <c:v>7</c:v>
                </c:pt>
                <c:pt idx="1">
                  <c:v>3</c:v>
                </c:pt>
                <c:pt idx="2">
                  <c:v>4</c:v>
                </c:pt>
                <c:pt idx="3">
                  <c:v>4</c:v>
                </c:pt>
              </c:numCache>
            </c:numRef>
          </c:val>
          <c:extLst>
            <c:ext xmlns:c16="http://schemas.microsoft.com/office/drawing/2014/chart" uri="{C3380CC4-5D6E-409C-BE32-E72D297353CC}">
              <c16:uniqueId val="{00000000-62B2-4F26-A7FC-78FD233D3976}"/>
            </c:ext>
          </c:extLst>
        </c:ser>
        <c:dLbls>
          <c:dLblPos val="outEnd"/>
          <c:showLegendKey val="0"/>
          <c:showVal val="1"/>
          <c:showCatName val="0"/>
          <c:showSerName val="0"/>
          <c:showPercent val="0"/>
          <c:showBubbleSize val="0"/>
        </c:dLbls>
        <c:gapWidth val="219"/>
        <c:overlap val="-27"/>
        <c:axId val="1773117408"/>
        <c:axId val="1087471472"/>
      </c:barChart>
      <c:catAx>
        <c:axId val="177311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471472"/>
        <c:crosses val="autoZero"/>
        <c:auto val="1"/>
        <c:lblAlgn val="ctr"/>
        <c:lblOffset val="100"/>
        <c:noMultiLvlLbl val="0"/>
      </c:catAx>
      <c:valAx>
        <c:axId val="108747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11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[AI_Agent_Adoption_Workplace_Productivity_2024_2026Analyticsdashboard.xlsx]KPI CARDS AND PIVOT TABLES!PivotTable9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Productivity</a:t>
            </a:r>
            <a:r>
              <a:rPr lang="en-US" baseline="0"/>
              <a:t> Change By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CARDS AND PIVOT TABLES'!$E$15</c:f>
              <c:strCache>
                <c:ptCount val="1"/>
                <c:pt idx="0">
                  <c:v>Total</c:v>
                </c:pt>
              </c:strCache>
            </c:strRef>
          </c:tx>
          <c:spPr>
            <a:solidFill>
              <a:schemeClr val="accent1"/>
            </a:solidFill>
            <a:ln>
              <a:noFill/>
            </a:ln>
            <a:effectLst/>
          </c:spPr>
          <c:invertIfNegative val="0"/>
          <c:cat>
            <c:strRef>
              <c:f>'KPI CARDS AND PIVOT TABLES'!$D$16:$D$23</c:f>
              <c:strCache>
                <c:ptCount val="7"/>
                <c:pt idx="0">
                  <c:v>Consulting &amp; Professional Services</c:v>
                </c:pt>
                <c:pt idx="1">
                  <c:v>Education</c:v>
                </c:pt>
                <c:pt idx="2">
                  <c:v>Energy &amp; Utilities</c:v>
                </c:pt>
                <c:pt idx="3">
                  <c:v>Government &amp; Public Sector</c:v>
                </c:pt>
                <c:pt idx="4">
                  <c:v>Logistics &amp; Supply Chain</c:v>
                </c:pt>
                <c:pt idx="5">
                  <c:v>Technology</c:v>
                </c:pt>
                <c:pt idx="6">
                  <c:v>Telecommunications</c:v>
                </c:pt>
              </c:strCache>
            </c:strRef>
          </c:cat>
          <c:val>
            <c:numRef>
              <c:f>'KPI CARDS AND PIVOT TABLES'!$E$16:$E$23</c:f>
              <c:numCache>
                <c:formatCode>0</c:formatCode>
                <c:ptCount val="7"/>
                <c:pt idx="0">
                  <c:v>9.4499999999999993</c:v>
                </c:pt>
                <c:pt idx="1">
                  <c:v>16.466666666666669</c:v>
                </c:pt>
                <c:pt idx="2">
                  <c:v>18.966666666666669</c:v>
                </c:pt>
                <c:pt idx="3">
                  <c:v>15.049999999999999</c:v>
                </c:pt>
                <c:pt idx="4">
                  <c:v>17.2</c:v>
                </c:pt>
                <c:pt idx="5">
                  <c:v>18.380000000000003</c:v>
                </c:pt>
                <c:pt idx="6">
                  <c:v>15.200000000000001</c:v>
                </c:pt>
              </c:numCache>
            </c:numRef>
          </c:val>
          <c:extLst>
            <c:ext xmlns:c16="http://schemas.microsoft.com/office/drawing/2014/chart" uri="{C3380CC4-5D6E-409C-BE32-E72D297353CC}">
              <c16:uniqueId val="{00000000-3B94-4914-9E04-A3A8A4BCC88B}"/>
            </c:ext>
          </c:extLst>
        </c:ser>
        <c:dLbls>
          <c:showLegendKey val="0"/>
          <c:showVal val="0"/>
          <c:showCatName val="0"/>
          <c:showSerName val="0"/>
          <c:showPercent val="0"/>
          <c:showBubbleSize val="0"/>
        </c:dLbls>
        <c:gapWidth val="182"/>
        <c:axId val="704411360"/>
        <c:axId val="1250172528"/>
      </c:barChart>
      <c:catAx>
        <c:axId val="7044113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172528"/>
        <c:crosses val="autoZero"/>
        <c:auto val="1"/>
        <c:lblAlgn val="ctr"/>
        <c:lblOffset val="100"/>
        <c:noMultiLvlLbl val="0"/>
      </c:catAx>
      <c:valAx>
        <c:axId val="1250172528"/>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41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[AI_Agent_Adoption_Workplace_Productivity_2024_2026Analyticsdashboard.xlsx]KPI CARDS AND PIVOT TABLES!PivotTable10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a:t>
            </a:r>
            <a:r>
              <a:rPr lang="en-US" baseline="0"/>
              <a:t> AI Impact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bg1"/>
            </a:solidFill>
          </a:ln>
          <a:effectLst/>
          <a:sp3d contourW="25400">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 CARDS AND PIVOT TABLES'!$N$3</c:f>
              <c:strCache>
                <c:ptCount val="1"/>
                <c:pt idx="0">
                  <c:v>Total</c:v>
                </c:pt>
              </c:strCache>
            </c:strRef>
          </c:tx>
          <c:spPr>
            <a:ln>
              <a:solidFill>
                <a:schemeClr val="bg1"/>
              </a:solidFill>
            </a:ln>
          </c:spPr>
          <c:explosion val="3"/>
          <c:dPt>
            <c:idx val="0"/>
            <c:bubble3D val="0"/>
            <c:spPr>
              <a:solidFill>
                <a:schemeClr val="accent1"/>
              </a:solidFill>
              <a:ln w="25400">
                <a:solidFill>
                  <a:schemeClr val="bg1"/>
                </a:solidFill>
              </a:ln>
              <a:effectLst/>
              <a:sp3d contourW="25400">
                <a:contourClr>
                  <a:schemeClr val="bg1"/>
                </a:contourClr>
              </a:sp3d>
            </c:spPr>
          </c:dPt>
          <c:dPt>
            <c:idx val="1"/>
            <c:bubble3D val="0"/>
            <c:spPr>
              <a:solidFill>
                <a:schemeClr val="accent2"/>
              </a:solidFill>
              <a:ln w="25400">
                <a:solidFill>
                  <a:schemeClr val="bg1"/>
                </a:solidFill>
              </a:ln>
              <a:effectLst/>
              <a:sp3d contourW="25400">
                <a:contourClr>
                  <a:schemeClr val="bg1"/>
                </a:contourClr>
              </a:sp3d>
            </c:spPr>
          </c:dPt>
          <c:dPt>
            <c:idx val="2"/>
            <c:bubble3D val="0"/>
            <c:spPr>
              <a:solidFill>
                <a:schemeClr val="accent3"/>
              </a:solidFill>
              <a:ln w="25400">
                <a:solidFill>
                  <a:schemeClr val="bg1"/>
                </a:solidFill>
              </a:ln>
              <a:effectLst/>
              <a:sp3d contourW="25400">
                <a:contourClr>
                  <a:schemeClr val="bg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CARDS AND PIVOT TABLES'!$M$4:$M$7</c:f>
              <c:strCache>
                <c:ptCount val="3"/>
                <c:pt idx="0">
                  <c:v>Highly Positive</c:v>
                </c:pt>
                <c:pt idx="1">
                  <c:v>Neutral</c:v>
                </c:pt>
                <c:pt idx="2">
                  <c:v>Positive</c:v>
                </c:pt>
              </c:strCache>
            </c:strRef>
          </c:cat>
          <c:val>
            <c:numRef>
              <c:f>'KPI CARDS AND PIVOT TABLES'!$N$4:$N$7</c:f>
              <c:numCache>
                <c:formatCode>General</c:formatCode>
                <c:ptCount val="3"/>
                <c:pt idx="0">
                  <c:v>5</c:v>
                </c:pt>
                <c:pt idx="1">
                  <c:v>5</c:v>
                </c:pt>
                <c:pt idx="2">
                  <c:v>8</c:v>
                </c:pt>
              </c:numCache>
            </c:numRef>
          </c:val>
          <c:extLst>
            <c:ext xmlns:c16="http://schemas.microsoft.com/office/drawing/2014/chart" uri="{C3380CC4-5D6E-409C-BE32-E72D297353CC}">
              <c16:uniqueId val="{00000000-5337-4F38-81B7-7334B4C2CEF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b="100000"/>
      </a:path>
      <a:tileRect t="-100000" r="-100000"/>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[AI_Agent_Adoption_Workplace_Productivity_2024_2026Analyticsdashboard.xlsx]KPI CARDS AND PIVOT TABLES!PivotTable11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Hours Saved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CARDS AND PIVOT TABLES'!$N$14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 CARDS AND PIVOT TABLES'!$M$15:$M$16</c:f>
              <c:strCache>
                <c:ptCount val="1"/>
                <c:pt idx="0">
                  <c:v>2026</c:v>
                </c:pt>
              </c:strCache>
            </c:strRef>
          </c:cat>
          <c:val>
            <c:numRef>
              <c:f>'KPI CARDS AND PIVOT TABLES'!$N$15:$N$16</c:f>
              <c:numCache>
                <c:formatCode>0</c:formatCode>
                <c:ptCount val="1"/>
                <c:pt idx="0">
                  <c:v>8.5722222222222246</c:v>
                </c:pt>
              </c:numCache>
            </c:numRef>
          </c:val>
          <c:smooth val="0"/>
          <c:extLst>
            <c:ext xmlns:c16="http://schemas.microsoft.com/office/drawing/2014/chart" uri="{C3380CC4-5D6E-409C-BE32-E72D297353CC}">
              <c16:uniqueId val="{00000000-684B-4F37-B8DD-E9231C3CE360}"/>
            </c:ext>
          </c:extLst>
        </c:ser>
        <c:dLbls>
          <c:showLegendKey val="0"/>
          <c:showVal val="0"/>
          <c:showCatName val="0"/>
          <c:showSerName val="0"/>
          <c:showPercent val="0"/>
          <c:showBubbleSize val="0"/>
        </c:dLbls>
        <c:marker val="1"/>
        <c:smooth val="0"/>
        <c:axId val="704488848"/>
        <c:axId val="1250208048"/>
      </c:lineChart>
      <c:catAx>
        <c:axId val="70448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208048"/>
        <c:crosses val="autoZero"/>
        <c:auto val="1"/>
        <c:lblAlgn val="ctr"/>
        <c:lblOffset val="100"/>
        <c:noMultiLvlLbl val="0"/>
      </c:catAx>
      <c:valAx>
        <c:axId val="12502080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48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[AI_Agent_Adoption_Workplace_Productivity_2024_2026Analyticsdashboard.xlsx]KPI CARDS AND PIVOT TABLES!PivotTable12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a:t>
            </a:r>
            <a:r>
              <a:rPr lang="en-US" baseline="0"/>
              <a:t> Hours Vs Productivity Change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 CARDS AND PIVOT TABLES'!$O$23</c:f>
              <c:strCache>
                <c:ptCount val="1"/>
                <c:pt idx="0">
                  <c:v>Total</c:v>
                </c:pt>
              </c:strCache>
            </c:strRef>
          </c:tx>
          <c:spPr>
            <a:solidFill>
              <a:schemeClr val="accent1"/>
            </a:solidFill>
            <a:ln>
              <a:noFill/>
            </a:ln>
            <a:effectLst/>
          </c:spPr>
          <c:cat>
            <c:strRef>
              <c:f>'KPI CARDS AND PIVOT TABLES'!$N$24:$N$39</c:f>
              <c:strCache>
                <c:ptCount val="15"/>
                <c:pt idx="0">
                  <c:v>0</c:v>
                </c:pt>
                <c:pt idx="1">
                  <c:v>3</c:v>
                </c:pt>
                <c:pt idx="2">
                  <c:v>7</c:v>
                </c:pt>
                <c:pt idx="3">
                  <c:v>17</c:v>
                </c:pt>
                <c:pt idx="4">
                  <c:v>22</c:v>
                </c:pt>
                <c:pt idx="5">
                  <c:v>31</c:v>
                </c:pt>
                <c:pt idx="6">
                  <c:v>32</c:v>
                </c:pt>
                <c:pt idx="7">
                  <c:v>33</c:v>
                </c:pt>
                <c:pt idx="8">
                  <c:v>35</c:v>
                </c:pt>
                <c:pt idx="9">
                  <c:v>37</c:v>
                </c:pt>
                <c:pt idx="10">
                  <c:v>39</c:v>
                </c:pt>
                <c:pt idx="11">
                  <c:v>42</c:v>
                </c:pt>
                <c:pt idx="12">
                  <c:v>45</c:v>
                </c:pt>
                <c:pt idx="13">
                  <c:v>51</c:v>
                </c:pt>
                <c:pt idx="14">
                  <c:v>71</c:v>
                </c:pt>
              </c:strCache>
            </c:strRef>
          </c:cat>
          <c:val>
            <c:numRef>
              <c:f>'KPI CARDS AND PIVOT TABLES'!$O$24:$O$39</c:f>
              <c:numCache>
                <c:formatCode>General</c:formatCode>
                <c:ptCount val="15"/>
                <c:pt idx="0">
                  <c:v>2.7</c:v>
                </c:pt>
                <c:pt idx="1">
                  <c:v>9.8000000000000007</c:v>
                </c:pt>
                <c:pt idx="2">
                  <c:v>10.5</c:v>
                </c:pt>
                <c:pt idx="3">
                  <c:v>31</c:v>
                </c:pt>
                <c:pt idx="4">
                  <c:v>10.199999999999999</c:v>
                </c:pt>
                <c:pt idx="5">
                  <c:v>14.4</c:v>
                </c:pt>
                <c:pt idx="6">
                  <c:v>7.1</c:v>
                </c:pt>
                <c:pt idx="7">
                  <c:v>19.899999999999999</c:v>
                </c:pt>
                <c:pt idx="8">
                  <c:v>20.6</c:v>
                </c:pt>
                <c:pt idx="9">
                  <c:v>22.9</c:v>
                </c:pt>
                <c:pt idx="10">
                  <c:v>18.899999999999999</c:v>
                </c:pt>
                <c:pt idx="11">
                  <c:v>-0.1</c:v>
                </c:pt>
                <c:pt idx="12">
                  <c:v>67.099999999999994</c:v>
                </c:pt>
                <c:pt idx="13">
                  <c:v>17.2</c:v>
                </c:pt>
                <c:pt idx="14">
                  <c:v>42.6</c:v>
                </c:pt>
              </c:numCache>
            </c:numRef>
          </c:val>
          <c:extLst>
            <c:ext xmlns:c16="http://schemas.microsoft.com/office/drawing/2014/chart" uri="{C3380CC4-5D6E-409C-BE32-E72D297353CC}">
              <c16:uniqueId val="{00000000-0979-438B-A4C1-6E260C30BA9F}"/>
            </c:ext>
          </c:extLst>
        </c:ser>
        <c:dLbls>
          <c:showLegendKey val="0"/>
          <c:showVal val="0"/>
          <c:showCatName val="0"/>
          <c:showSerName val="0"/>
          <c:showPercent val="0"/>
          <c:showBubbleSize val="0"/>
        </c:dLbls>
        <c:axId val="69291103"/>
        <c:axId val="1250145648"/>
      </c:areaChart>
      <c:catAx>
        <c:axId val="69291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145648"/>
        <c:crosses val="autoZero"/>
        <c:auto val="1"/>
        <c:lblAlgn val="ctr"/>
        <c:lblOffset val="100"/>
        <c:noMultiLvlLbl val="0"/>
      </c:catAx>
      <c:valAx>
        <c:axId val="1250145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9110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b="100000"/>
      </a:path>
      <a:tileRect t="-100000" r="-100000"/>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[AI_Agent_Adoption_Workplace_Productivity_2024_2026Analyticsdashboard.xlsx]KPI CARDS AND PIVOT TABLES!PivotTable13</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aseline="0">
                <a:solidFill>
                  <a:schemeClr val="dk1"/>
                </a:solidFill>
                <a:latin typeface="+mn-lt"/>
                <a:ea typeface="+mn-ea"/>
                <a:cs typeface="+mn-cs"/>
              </a:rPr>
              <a:t>Job Satisfaction By AI Usage </a:t>
            </a:r>
            <a:endParaRPr lang="en-US"/>
          </a:p>
        </c:rich>
      </c:tx>
      <c:layout>
        <c:manualLayout>
          <c:xMode val="edge"/>
          <c:yMode val="edge"/>
          <c:x val="0.18646447262954405"/>
          <c:y val="3.4163006344558322E-2"/>
        </c:manualLayout>
      </c:layout>
      <c:overlay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6350" cap="flat" cmpd="sng" algn="ctr">
          <a:solidFill>
            <a:schemeClr val="accent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 CARDS AND PIVOT TABLES'!$B$20</c:f>
              <c:strCache>
                <c:ptCount val="1"/>
                <c:pt idx="0">
                  <c:v>Total</c:v>
                </c:pt>
              </c:strCache>
            </c:strRef>
          </c:tx>
          <c:spPr>
            <a:solidFill>
              <a:schemeClr val="accent1"/>
            </a:solidFill>
            <a:ln>
              <a:noFill/>
            </a:ln>
            <a:effectLst/>
          </c:spPr>
          <c:invertIfNegative val="0"/>
          <c:cat>
            <c:strRef>
              <c:f>'KPI CARDS AND PIVOT TABLES'!$A$21:$A$25</c:f>
              <c:strCache>
                <c:ptCount val="4"/>
                <c:pt idx="0">
                  <c:v>High</c:v>
                </c:pt>
                <c:pt idx="1">
                  <c:v>Low</c:v>
                </c:pt>
                <c:pt idx="2">
                  <c:v>Moderate</c:v>
                </c:pt>
                <c:pt idx="3">
                  <c:v>Very High</c:v>
                </c:pt>
              </c:strCache>
            </c:strRef>
          </c:cat>
          <c:val>
            <c:numRef>
              <c:f>'KPI CARDS AND PIVOT TABLES'!$B$21:$B$25</c:f>
              <c:numCache>
                <c:formatCode>0.0</c:formatCode>
                <c:ptCount val="4"/>
                <c:pt idx="0">
                  <c:v>5.8571428571428568</c:v>
                </c:pt>
                <c:pt idx="1">
                  <c:v>6.333333333333333</c:v>
                </c:pt>
                <c:pt idx="2">
                  <c:v>5.75</c:v>
                </c:pt>
                <c:pt idx="3">
                  <c:v>7.5</c:v>
                </c:pt>
              </c:numCache>
            </c:numRef>
          </c:val>
          <c:extLst>
            <c:ext xmlns:c16="http://schemas.microsoft.com/office/drawing/2014/chart" uri="{C3380CC4-5D6E-409C-BE32-E72D297353CC}">
              <c16:uniqueId val="{00000000-22B2-439A-97F8-3A58EAA98249}"/>
            </c:ext>
          </c:extLst>
        </c:ser>
        <c:dLbls>
          <c:showLegendKey val="0"/>
          <c:showVal val="0"/>
          <c:showCatName val="0"/>
          <c:showSerName val="0"/>
          <c:showPercent val="0"/>
          <c:showBubbleSize val="0"/>
        </c:dLbls>
        <c:gapWidth val="150"/>
        <c:overlap val="100"/>
        <c:axId val="69367199"/>
        <c:axId val="1250160048"/>
      </c:barChart>
      <c:catAx>
        <c:axId val="69367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160048"/>
        <c:crosses val="autoZero"/>
        <c:auto val="1"/>
        <c:lblAlgn val="ctr"/>
        <c:lblOffset val="100"/>
        <c:noMultiLvlLbl val="0"/>
      </c:catAx>
      <c:valAx>
        <c:axId val="125016004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6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t="100000" r="100000"/>
      </a:path>
      <a:tileRect l="-100000" b="-100000"/>
    </a:gra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[AI_Agent_Adoption_Workplace_Productivity_2024_2026Analyticsdashboard.xlsx]KPI CARDS AND PIVOT TABLES!PivotTable14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Job</a:t>
            </a:r>
            <a:r>
              <a:rPr lang="en-IN" baseline="0"/>
              <a:t> Risk By AI Usage Level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 CARDS AND PIVOT TABLES'!$E$40:$E$41</c:f>
              <c:strCache>
                <c:ptCount val="1"/>
                <c:pt idx="0">
                  <c:v>High</c:v>
                </c:pt>
              </c:strCache>
            </c:strRef>
          </c:tx>
          <c:spPr>
            <a:solidFill>
              <a:schemeClr val="accent1"/>
            </a:solidFill>
            <a:ln>
              <a:noFill/>
            </a:ln>
            <a:effectLst/>
          </c:spPr>
          <c:invertIfNegative val="0"/>
          <c:cat>
            <c:strRef>
              <c:f>'KPI CARDS AND PIVOT TABLES'!$D$42:$D$46</c:f>
              <c:strCache>
                <c:ptCount val="4"/>
                <c:pt idx="0">
                  <c:v>High</c:v>
                </c:pt>
                <c:pt idx="1">
                  <c:v>Low</c:v>
                </c:pt>
                <c:pt idx="2">
                  <c:v>Moderate</c:v>
                </c:pt>
                <c:pt idx="3">
                  <c:v>Very High</c:v>
                </c:pt>
              </c:strCache>
            </c:strRef>
          </c:cat>
          <c:val>
            <c:numRef>
              <c:f>'KPI CARDS AND PIVOT TABLES'!$E$42:$E$46</c:f>
              <c:numCache>
                <c:formatCode>General</c:formatCode>
                <c:ptCount val="4"/>
                <c:pt idx="0">
                  <c:v>3</c:v>
                </c:pt>
                <c:pt idx="1">
                  <c:v>3</c:v>
                </c:pt>
                <c:pt idx="2">
                  <c:v>1</c:v>
                </c:pt>
              </c:numCache>
            </c:numRef>
          </c:val>
          <c:extLst>
            <c:ext xmlns:c16="http://schemas.microsoft.com/office/drawing/2014/chart" uri="{C3380CC4-5D6E-409C-BE32-E72D297353CC}">
              <c16:uniqueId val="{00000000-6E40-43FD-8FDB-8F8361C77485}"/>
            </c:ext>
          </c:extLst>
        </c:ser>
        <c:ser>
          <c:idx val="1"/>
          <c:order val="1"/>
          <c:tx>
            <c:strRef>
              <c:f>'KPI CARDS AND PIVOT TABLES'!$F$40:$F$41</c:f>
              <c:strCache>
                <c:ptCount val="1"/>
                <c:pt idx="0">
                  <c:v>Low</c:v>
                </c:pt>
              </c:strCache>
            </c:strRef>
          </c:tx>
          <c:spPr>
            <a:solidFill>
              <a:schemeClr val="accent2"/>
            </a:solidFill>
            <a:ln>
              <a:noFill/>
            </a:ln>
            <a:effectLst/>
          </c:spPr>
          <c:invertIfNegative val="0"/>
          <c:cat>
            <c:strRef>
              <c:f>'KPI CARDS AND PIVOT TABLES'!$D$42:$D$46</c:f>
              <c:strCache>
                <c:ptCount val="4"/>
                <c:pt idx="0">
                  <c:v>High</c:v>
                </c:pt>
                <c:pt idx="1">
                  <c:v>Low</c:v>
                </c:pt>
                <c:pt idx="2">
                  <c:v>Moderate</c:v>
                </c:pt>
                <c:pt idx="3">
                  <c:v>Very High</c:v>
                </c:pt>
              </c:strCache>
            </c:strRef>
          </c:cat>
          <c:val>
            <c:numRef>
              <c:f>'KPI CARDS AND PIVOT TABLES'!$F$42:$F$46</c:f>
              <c:numCache>
                <c:formatCode>General</c:formatCode>
                <c:ptCount val="4"/>
                <c:pt idx="0">
                  <c:v>1</c:v>
                </c:pt>
                <c:pt idx="1">
                  <c:v>2</c:v>
                </c:pt>
              </c:numCache>
            </c:numRef>
          </c:val>
          <c:extLst>
            <c:ext xmlns:c16="http://schemas.microsoft.com/office/drawing/2014/chart" uri="{C3380CC4-5D6E-409C-BE32-E72D297353CC}">
              <c16:uniqueId val="{00000029-6E40-43FD-8FDB-8F8361C77485}"/>
            </c:ext>
          </c:extLst>
        </c:ser>
        <c:ser>
          <c:idx val="2"/>
          <c:order val="2"/>
          <c:tx>
            <c:strRef>
              <c:f>'KPI CARDS AND PIVOT TABLES'!$G$40:$G$41</c:f>
              <c:strCache>
                <c:ptCount val="1"/>
                <c:pt idx="0">
                  <c:v>Moderate</c:v>
                </c:pt>
              </c:strCache>
            </c:strRef>
          </c:tx>
          <c:spPr>
            <a:solidFill>
              <a:schemeClr val="accent3"/>
            </a:solidFill>
            <a:ln>
              <a:noFill/>
            </a:ln>
            <a:effectLst/>
          </c:spPr>
          <c:invertIfNegative val="0"/>
          <c:cat>
            <c:strRef>
              <c:f>'KPI CARDS AND PIVOT TABLES'!$D$42:$D$46</c:f>
              <c:strCache>
                <c:ptCount val="4"/>
                <c:pt idx="0">
                  <c:v>High</c:v>
                </c:pt>
                <c:pt idx="1">
                  <c:v>Low</c:v>
                </c:pt>
                <c:pt idx="2">
                  <c:v>Moderate</c:v>
                </c:pt>
                <c:pt idx="3">
                  <c:v>Very High</c:v>
                </c:pt>
              </c:strCache>
            </c:strRef>
          </c:cat>
          <c:val>
            <c:numRef>
              <c:f>'KPI CARDS AND PIVOT TABLES'!$G$42:$G$46</c:f>
              <c:numCache>
                <c:formatCode>General</c:formatCode>
                <c:ptCount val="4"/>
                <c:pt idx="0">
                  <c:v>1</c:v>
                </c:pt>
                <c:pt idx="1">
                  <c:v>1</c:v>
                </c:pt>
                <c:pt idx="2">
                  <c:v>2</c:v>
                </c:pt>
              </c:numCache>
            </c:numRef>
          </c:val>
          <c:extLst>
            <c:ext xmlns:c16="http://schemas.microsoft.com/office/drawing/2014/chart" uri="{C3380CC4-5D6E-409C-BE32-E72D297353CC}">
              <c16:uniqueId val="{0000002A-6E40-43FD-8FDB-8F8361C77485}"/>
            </c:ext>
          </c:extLst>
        </c:ser>
        <c:ser>
          <c:idx val="3"/>
          <c:order val="3"/>
          <c:tx>
            <c:strRef>
              <c:f>'KPI CARDS AND PIVOT TABLES'!$H$40:$H$41</c:f>
              <c:strCache>
                <c:ptCount val="1"/>
                <c:pt idx="0">
                  <c:v>Very High</c:v>
                </c:pt>
              </c:strCache>
            </c:strRef>
          </c:tx>
          <c:spPr>
            <a:solidFill>
              <a:schemeClr val="accent4"/>
            </a:solidFill>
            <a:ln>
              <a:noFill/>
            </a:ln>
            <a:effectLst/>
          </c:spPr>
          <c:invertIfNegative val="0"/>
          <c:cat>
            <c:strRef>
              <c:f>'KPI CARDS AND PIVOT TABLES'!$D$42:$D$46</c:f>
              <c:strCache>
                <c:ptCount val="4"/>
                <c:pt idx="0">
                  <c:v>High</c:v>
                </c:pt>
                <c:pt idx="1">
                  <c:v>Low</c:v>
                </c:pt>
                <c:pt idx="2">
                  <c:v>Moderate</c:v>
                </c:pt>
                <c:pt idx="3">
                  <c:v>Very High</c:v>
                </c:pt>
              </c:strCache>
            </c:strRef>
          </c:cat>
          <c:val>
            <c:numRef>
              <c:f>'KPI CARDS AND PIVOT TABLES'!$H$42:$H$46</c:f>
              <c:numCache>
                <c:formatCode>General</c:formatCode>
                <c:ptCount val="4"/>
                <c:pt idx="1">
                  <c:v>2</c:v>
                </c:pt>
                <c:pt idx="2">
                  <c:v>1</c:v>
                </c:pt>
                <c:pt idx="3">
                  <c:v>1</c:v>
                </c:pt>
              </c:numCache>
            </c:numRef>
          </c:val>
          <c:extLst>
            <c:ext xmlns:c16="http://schemas.microsoft.com/office/drawing/2014/chart" uri="{C3380CC4-5D6E-409C-BE32-E72D297353CC}">
              <c16:uniqueId val="{0000002B-6E40-43FD-8FDB-8F8361C77485}"/>
            </c:ext>
          </c:extLst>
        </c:ser>
        <c:dLbls>
          <c:showLegendKey val="0"/>
          <c:showVal val="0"/>
          <c:showCatName val="0"/>
          <c:showSerName val="0"/>
          <c:showPercent val="0"/>
          <c:showBubbleSize val="0"/>
        </c:dLbls>
        <c:gapWidth val="150"/>
        <c:overlap val="100"/>
        <c:axId val="65852703"/>
        <c:axId val="1250082288"/>
      </c:barChart>
      <c:catAx>
        <c:axId val="65852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082288"/>
        <c:crosses val="autoZero"/>
        <c:auto val="1"/>
        <c:lblAlgn val="ctr"/>
        <c:lblOffset val="100"/>
        <c:noMultiLvlLbl val="0"/>
      </c:catAx>
      <c:valAx>
        <c:axId val="1250082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5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[AI_Agent_Adoption_Workplace_Productivity_2024_2026Analyticsdashboard.xlsx]KPI CARDS AND PIVOT TABLES!PivotTable8</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AI</a:t>
            </a:r>
            <a:r>
              <a:rPr lang="en-US" b="1" baseline="0">
                <a:solidFill>
                  <a:schemeClr val="tx1"/>
                </a:solidFill>
              </a:rPr>
              <a:t> Agent Adoption Distribution</a:t>
            </a:r>
            <a:endParaRPr lang="en-US" b="1">
              <a:solidFill>
                <a:schemeClr val="tx1"/>
              </a:solidFill>
            </a:endParaRPr>
          </a:p>
        </c:rich>
      </c:tx>
      <c:overlay val="0"/>
      <c:spPr>
        <a:gradFill>
          <a:gsLst>
            <a:gs pos="0">
              <a:schemeClr val="accent1">
                <a:lumMod val="40000"/>
                <a:lumOff val="60000"/>
              </a:schemeClr>
            </a:gs>
            <a:gs pos="50000">
              <a:schemeClr val="accent1">
                <a:lumMod val="105000"/>
                <a:satMod val="103000"/>
                <a:tint val="73000"/>
              </a:schemeClr>
            </a:gs>
            <a:gs pos="100000">
              <a:schemeClr val="accent1">
                <a:lumMod val="105000"/>
                <a:satMod val="109000"/>
                <a:tint val="81000"/>
              </a:schemeClr>
            </a:gs>
          </a:gsLst>
          <a:lin ang="5400000" scaled="0"/>
        </a:gradFill>
        <a:ln>
          <a:solidFill>
            <a:srgbClr val="4F81BD"/>
          </a:solid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CARDS AND PIVOT 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CARDS AND PIVOT TABLES'!$D$4:$D$8</c:f>
              <c:strCache>
                <c:ptCount val="4"/>
                <c:pt idx="0">
                  <c:v>High</c:v>
                </c:pt>
                <c:pt idx="1">
                  <c:v>Low</c:v>
                </c:pt>
                <c:pt idx="2">
                  <c:v>Moderate</c:v>
                </c:pt>
                <c:pt idx="3">
                  <c:v>Very High</c:v>
                </c:pt>
              </c:strCache>
            </c:strRef>
          </c:cat>
          <c:val>
            <c:numRef>
              <c:f>'KPI CARDS AND PIVOT TABLES'!$E$4:$E$8</c:f>
              <c:numCache>
                <c:formatCode>General</c:formatCode>
                <c:ptCount val="4"/>
                <c:pt idx="0">
                  <c:v>7</c:v>
                </c:pt>
                <c:pt idx="1">
                  <c:v>3</c:v>
                </c:pt>
                <c:pt idx="2">
                  <c:v>4</c:v>
                </c:pt>
                <c:pt idx="3">
                  <c:v>4</c:v>
                </c:pt>
              </c:numCache>
            </c:numRef>
          </c:val>
          <c:extLst>
            <c:ext xmlns:c16="http://schemas.microsoft.com/office/drawing/2014/chart" uri="{C3380CC4-5D6E-409C-BE32-E72D297353CC}">
              <c16:uniqueId val="{00000000-27DA-4903-ACC8-B8050124681C}"/>
            </c:ext>
          </c:extLst>
        </c:ser>
        <c:dLbls>
          <c:dLblPos val="outEnd"/>
          <c:showLegendKey val="0"/>
          <c:showVal val="1"/>
          <c:showCatName val="0"/>
          <c:showSerName val="0"/>
          <c:showPercent val="0"/>
          <c:showBubbleSize val="0"/>
        </c:dLbls>
        <c:gapWidth val="219"/>
        <c:overlap val="-27"/>
        <c:axId val="1773117408"/>
        <c:axId val="1087471472"/>
      </c:barChart>
      <c:catAx>
        <c:axId val="177311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471472"/>
        <c:crosses val="autoZero"/>
        <c:auto val="1"/>
        <c:lblAlgn val="ctr"/>
        <c:lblOffset val="100"/>
        <c:noMultiLvlLbl val="0"/>
      </c:catAx>
      <c:valAx>
        <c:axId val="108747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11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[AI_Agent_Adoption_Workplace_Productivity_2024_2026Analyticsdashboard.xlsx]KPI CARDS AND PIVOT TABLES!PivotTable9</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Productivity</a:t>
            </a:r>
            <a:r>
              <a:rPr lang="en-US" b="1" baseline="0">
                <a:solidFill>
                  <a:schemeClr val="tx1"/>
                </a:solidFill>
              </a:rPr>
              <a:t> Change By Industry</a:t>
            </a:r>
          </a:p>
        </c:rich>
      </c:tx>
      <c:overlay val="0"/>
      <c:spPr>
        <a:gradFill>
          <a:gsLst>
            <a:gs pos="0">
              <a:schemeClr val="accent1">
                <a:lumMod val="20000"/>
                <a:lumOff val="80000"/>
              </a:schemeClr>
            </a:gs>
            <a:gs pos="50000">
              <a:schemeClr val="accent1">
                <a:lumMod val="105000"/>
                <a:satMod val="103000"/>
                <a:tint val="73000"/>
              </a:schemeClr>
            </a:gs>
            <a:gs pos="100000">
              <a:schemeClr val="accent1">
                <a:lumMod val="105000"/>
                <a:satMod val="109000"/>
                <a:tint val="81000"/>
              </a:schemeClr>
            </a:gs>
          </a:gsLst>
          <a:lin ang="5400000" scaled="0"/>
        </a:gra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872716735281184E-2"/>
          <c:y val="0.13983630861059346"/>
          <c:w val="0.92862474519365279"/>
          <c:h val="0.7650049901972501"/>
        </c:manualLayout>
      </c:layout>
      <c:barChart>
        <c:barDir val="bar"/>
        <c:grouping val="clustered"/>
        <c:varyColors val="0"/>
        <c:ser>
          <c:idx val="0"/>
          <c:order val="0"/>
          <c:tx>
            <c:strRef>
              <c:f>'KPI CARDS AND PIVOT TABLES'!$E$15</c:f>
              <c:strCache>
                <c:ptCount val="1"/>
                <c:pt idx="0">
                  <c:v>Total</c:v>
                </c:pt>
              </c:strCache>
            </c:strRef>
          </c:tx>
          <c:spPr>
            <a:solidFill>
              <a:schemeClr val="accent1"/>
            </a:solidFill>
            <a:ln>
              <a:noFill/>
            </a:ln>
            <a:effectLst/>
          </c:spPr>
          <c:invertIfNegative val="0"/>
          <c:cat>
            <c:strRef>
              <c:f>'KPI CARDS AND PIVOT TABLES'!$D$16:$D$23</c:f>
              <c:strCache>
                <c:ptCount val="7"/>
                <c:pt idx="0">
                  <c:v>Consulting &amp; Professional Services</c:v>
                </c:pt>
                <c:pt idx="1">
                  <c:v>Education</c:v>
                </c:pt>
                <c:pt idx="2">
                  <c:v>Energy &amp; Utilities</c:v>
                </c:pt>
                <c:pt idx="3">
                  <c:v>Government &amp; Public Sector</c:v>
                </c:pt>
                <c:pt idx="4">
                  <c:v>Logistics &amp; Supply Chain</c:v>
                </c:pt>
                <c:pt idx="5">
                  <c:v>Technology</c:v>
                </c:pt>
                <c:pt idx="6">
                  <c:v>Telecommunications</c:v>
                </c:pt>
              </c:strCache>
            </c:strRef>
          </c:cat>
          <c:val>
            <c:numRef>
              <c:f>'KPI CARDS AND PIVOT TABLES'!$E$16:$E$23</c:f>
              <c:numCache>
                <c:formatCode>0</c:formatCode>
                <c:ptCount val="7"/>
                <c:pt idx="0">
                  <c:v>9.4499999999999993</c:v>
                </c:pt>
                <c:pt idx="1">
                  <c:v>16.466666666666669</c:v>
                </c:pt>
                <c:pt idx="2">
                  <c:v>18.966666666666669</c:v>
                </c:pt>
                <c:pt idx="3">
                  <c:v>15.049999999999999</c:v>
                </c:pt>
                <c:pt idx="4">
                  <c:v>17.2</c:v>
                </c:pt>
                <c:pt idx="5">
                  <c:v>18.380000000000003</c:v>
                </c:pt>
                <c:pt idx="6">
                  <c:v>15.200000000000001</c:v>
                </c:pt>
              </c:numCache>
            </c:numRef>
          </c:val>
          <c:extLst>
            <c:ext xmlns:c16="http://schemas.microsoft.com/office/drawing/2014/chart" uri="{C3380CC4-5D6E-409C-BE32-E72D297353CC}">
              <c16:uniqueId val="{00000000-7667-4EA1-AD8F-67434A4F3A4C}"/>
            </c:ext>
          </c:extLst>
        </c:ser>
        <c:dLbls>
          <c:showLegendKey val="0"/>
          <c:showVal val="0"/>
          <c:showCatName val="0"/>
          <c:showSerName val="0"/>
          <c:showPercent val="0"/>
          <c:showBubbleSize val="0"/>
        </c:dLbls>
        <c:gapWidth val="182"/>
        <c:axId val="704411360"/>
        <c:axId val="1250172528"/>
      </c:barChart>
      <c:catAx>
        <c:axId val="7044113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172528"/>
        <c:crosses val="autoZero"/>
        <c:auto val="1"/>
        <c:lblAlgn val="ctr"/>
        <c:lblOffset val="100"/>
        <c:noMultiLvlLbl val="0"/>
      </c:catAx>
      <c:valAx>
        <c:axId val="1250172528"/>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41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[AI_Agent_Adoption_Workplace_Productivity_2024_2026Analyticsdashboard.xlsx]KPI CARDS AND PIVOT TABLES!PivotTable10</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Overall</a:t>
            </a:r>
            <a:r>
              <a:rPr lang="en-US" b="1" baseline="0">
                <a:solidFill>
                  <a:schemeClr val="tx1"/>
                </a:solidFill>
              </a:rPr>
              <a:t> AI Impact Distribution</a:t>
            </a:r>
          </a:p>
        </c:rich>
      </c:tx>
      <c:overlay val="0"/>
      <c:spPr>
        <a:gradFill>
          <a:gsLst>
            <a:gs pos="0">
              <a:schemeClr val="accent1">
                <a:lumMod val="40000"/>
                <a:lumOff val="60000"/>
              </a:schemeClr>
            </a:gs>
            <a:gs pos="50000">
              <a:schemeClr val="accent1">
                <a:lumMod val="105000"/>
                <a:satMod val="103000"/>
                <a:tint val="73000"/>
              </a:schemeClr>
            </a:gs>
            <a:gs pos="100000">
              <a:schemeClr val="accent1">
                <a:lumMod val="105000"/>
                <a:satMod val="109000"/>
                <a:tint val="81000"/>
              </a:schemeClr>
            </a:gs>
          </a:gsLst>
          <a:lin ang="5400000" scaled="0"/>
        </a:gra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bg1"/>
            </a:solidFill>
          </a:ln>
          <a:effectLst/>
          <a:sp3d contourW="25400">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bg1"/>
            </a:solidFill>
          </a:ln>
          <a:effectLst/>
          <a:sp3d contourW="25400">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bg1"/>
            </a:solidFill>
          </a:ln>
          <a:effectLst/>
          <a:sp3d contourW="25400">
            <a:contourClr>
              <a:schemeClr val="bg1"/>
            </a:contourClr>
          </a:sp3d>
        </c:spPr>
      </c:pivotFmt>
      <c:pivotFmt>
        <c:idx val="3"/>
        <c:spPr>
          <a:solidFill>
            <a:schemeClr val="accent1"/>
          </a:solidFill>
          <a:ln w="25400">
            <a:solidFill>
              <a:schemeClr val="bg1"/>
            </a:solidFill>
          </a:ln>
          <a:effectLst/>
          <a:sp3d contourW="25400">
            <a:contourClr>
              <a:schemeClr val="bg1"/>
            </a:contourClr>
          </a:sp3d>
        </c:spPr>
      </c:pivotFmt>
      <c:pivotFmt>
        <c:idx val="4"/>
        <c:spPr>
          <a:solidFill>
            <a:schemeClr val="accent1"/>
          </a:solidFill>
          <a:ln w="25400">
            <a:solidFill>
              <a:schemeClr val="bg1"/>
            </a:solidFill>
          </a:ln>
          <a:effectLst/>
          <a:sp3d contourW="25400">
            <a:contourClr>
              <a:schemeClr val="bg1"/>
            </a:contourClr>
          </a:sp3d>
        </c:spPr>
      </c:pivotFmt>
      <c:pivotFmt>
        <c:idx val="5"/>
        <c:spPr>
          <a:solidFill>
            <a:schemeClr val="accent1"/>
          </a:solidFill>
          <a:ln w="25400">
            <a:solidFill>
              <a:schemeClr val="bg1"/>
            </a:solidFill>
          </a:ln>
          <a:effectLst/>
          <a:sp3d contourW="25400">
            <a:contourClr>
              <a:schemeClr val="bg1"/>
            </a:contourClr>
          </a:sp3d>
        </c:spPr>
      </c:pivotFmt>
      <c:pivotFmt>
        <c:idx val="6"/>
        <c:spPr>
          <a:solidFill>
            <a:schemeClr val="accent1"/>
          </a:solidFill>
          <a:ln w="25400">
            <a:solidFill>
              <a:schemeClr val="bg1"/>
            </a:solidFill>
          </a:ln>
          <a:effectLst/>
          <a:sp3d contourW="25400">
            <a:contourClr>
              <a:schemeClr val="bg1"/>
            </a:contourClr>
          </a:sp3d>
        </c:spPr>
      </c:pivotFmt>
      <c:pivotFmt>
        <c:idx val="7"/>
        <c:spPr>
          <a:solidFill>
            <a:schemeClr val="accent1"/>
          </a:solidFill>
          <a:ln w="25400">
            <a:solidFill>
              <a:schemeClr val="bg1"/>
            </a:solidFill>
          </a:ln>
          <a:effectLst/>
          <a:sp3d contourW="25400">
            <a:contourClr>
              <a:schemeClr val="bg1"/>
            </a:contourClr>
          </a:sp3d>
        </c:spPr>
      </c:pivotFmt>
      <c:pivotFmt>
        <c:idx val="8"/>
        <c:spPr>
          <a:solidFill>
            <a:schemeClr val="accent1"/>
          </a:solidFill>
          <a:ln w="25400">
            <a:solidFill>
              <a:schemeClr val="bg1"/>
            </a:solidFill>
          </a:ln>
          <a:effectLst/>
          <a:sp3d contourW="25400">
            <a:contourClr>
              <a:schemeClr val="bg1"/>
            </a:contourClr>
          </a:sp3d>
        </c:spPr>
      </c:pivotFmt>
      <c:pivotFmt>
        <c:idx val="9"/>
        <c:spPr>
          <a:solidFill>
            <a:schemeClr val="accent1"/>
          </a:solidFill>
          <a:ln w="25400">
            <a:solidFill>
              <a:schemeClr val="bg1"/>
            </a:solidFill>
          </a:ln>
          <a:effectLst/>
          <a:sp3d contourW="25400">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bg1"/>
            </a:solidFill>
          </a:ln>
          <a:effectLst/>
          <a:sp3d contourW="25400">
            <a:contourClr>
              <a:schemeClr val="bg1"/>
            </a:contourClr>
          </a:sp3d>
        </c:spPr>
      </c:pivotFmt>
      <c:pivotFmt>
        <c:idx val="11"/>
        <c:spPr>
          <a:solidFill>
            <a:schemeClr val="accent1"/>
          </a:solidFill>
          <a:ln w="25400">
            <a:solidFill>
              <a:schemeClr val="bg1"/>
            </a:solidFill>
          </a:ln>
          <a:effectLst/>
          <a:sp3d contourW="25400">
            <a:contourClr>
              <a:schemeClr val="bg1"/>
            </a:contourClr>
          </a:sp3d>
        </c:spPr>
      </c:pivotFmt>
      <c:pivotFmt>
        <c:idx val="12"/>
        <c:spPr>
          <a:solidFill>
            <a:schemeClr val="accent1"/>
          </a:solidFill>
          <a:ln w="25400">
            <a:solidFill>
              <a:schemeClr val="bg1"/>
            </a:solidFill>
          </a:ln>
          <a:effectLst/>
          <a:sp3d contourW="25400">
            <a:contourClr>
              <a:schemeClr val="bg1"/>
            </a:contourClr>
          </a:sp3d>
        </c:spPr>
      </c:pivotFmt>
      <c:pivotFmt>
        <c:idx val="13"/>
        <c:spPr>
          <a:solidFill>
            <a:schemeClr val="accent1"/>
          </a:solidFill>
          <a:ln w="25400">
            <a:solidFill>
              <a:schemeClr val="bg1"/>
            </a:solidFill>
          </a:ln>
          <a:effectLst/>
          <a:sp3d contourW="25400">
            <a:contourClr>
              <a:schemeClr val="bg1"/>
            </a:contourClr>
          </a:sp3d>
        </c:spPr>
      </c:pivotFmt>
      <c:pivotFmt>
        <c:idx val="14"/>
        <c:spPr>
          <a:solidFill>
            <a:schemeClr val="accent1"/>
          </a:solidFill>
          <a:ln w="25400">
            <a:solidFill>
              <a:schemeClr val="bg1"/>
            </a:solidFill>
          </a:ln>
          <a:effectLst/>
          <a:sp3d contourW="25400">
            <a:contourClr>
              <a:schemeClr val="bg1"/>
            </a:contourClr>
          </a:sp3d>
        </c:spPr>
      </c:pivotFmt>
      <c:pivotFmt>
        <c:idx val="15"/>
        <c:spPr>
          <a:solidFill>
            <a:schemeClr val="accent1"/>
          </a:solidFill>
          <a:ln w="25400">
            <a:solidFill>
              <a:schemeClr val="bg1"/>
            </a:solidFill>
          </a:ln>
          <a:effectLst/>
          <a:sp3d contourW="25400">
            <a:contourClr>
              <a:schemeClr val="bg1"/>
            </a:contourClr>
          </a:sp3d>
        </c:spPr>
      </c:pivotFmt>
      <c:pivotFmt>
        <c:idx val="16"/>
        <c:spPr>
          <a:solidFill>
            <a:schemeClr val="accent1"/>
          </a:solidFill>
          <a:ln w="25400">
            <a:solidFill>
              <a:schemeClr val="bg1"/>
            </a:solidFill>
          </a:ln>
          <a:effectLst/>
          <a:sp3d contourW="25400">
            <a:contourClr>
              <a:schemeClr val="bg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 CARDS AND PIVOT TABLES'!$N$3</c:f>
              <c:strCache>
                <c:ptCount val="1"/>
                <c:pt idx="0">
                  <c:v>Total</c:v>
                </c:pt>
              </c:strCache>
            </c:strRef>
          </c:tx>
          <c:spPr>
            <a:ln>
              <a:solidFill>
                <a:schemeClr val="bg1"/>
              </a:solidFill>
            </a:ln>
          </c:spPr>
          <c:explosion val="3"/>
          <c:dPt>
            <c:idx val="0"/>
            <c:bubble3D val="0"/>
            <c:spPr>
              <a:solidFill>
                <a:schemeClr val="accent1"/>
              </a:solidFill>
              <a:ln w="25400">
                <a:solidFill>
                  <a:schemeClr val="bg1"/>
                </a:solidFill>
              </a:ln>
              <a:effectLst/>
              <a:sp3d contourW="25400">
                <a:contourClr>
                  <a:schemeClr val="bg1"/>
                </a:contourClr>
              </a:sp3d>
            </c:spPr>
            <c:extLst>
              <c:ext xmlns:c16="http://schemas.microsoft.com/office/drawing/2014/chart" uri="{C3380CC4-5D6E-409C-BE32-E72D297353CC}">
                <c16:uniqueId val="{00000001-E523-4394-8E0F-EAA78E20A7F5}"/>
              </c:ext>
            </c:extLst>
          </c:dPt>
          <c:dPt>
            <c:idx val="1"/>
            <c:bubble3D val="0"/>
            <c:spPr>
              <a:solidFill>
                <a:schemeClr val="accent2"/>
              </a:solidFill>
              <a:ln w="25400">
                <a:solidFill>
                  <a:schemeClr val="bg1"/>
                </a:solidFill>
              </a:ln>
              <a:effectLst/>
              <a:sp3d contourW="25400">
                <a:contourClr>
                  <a:schemeClr val="bg1"/>
                </a:contourClr>
              </a:sp3d>
            </c:spPr>
            <c:extLst>
              <c:ext xmlns:c16="http://schemas.microsoft.com/office/drawing/2014/chart" uri="{C3380CC4-5D6E-409C-BE32-E72D297353CC}">
                <c16:uniqueId val="{00000003-E523-4394-8E0F-EAA78E20A7F5}"/>
              </c:ext>
            </c:extLst>
          </c:dPt>
          <c:dPt>
            <c:idx val="2"/>
            <c:bubble3D val="0"/>
            <c:spPr>
              <a:solidFill>
                <a:schemeClr val="accent3"/>
              </a:solidFill>
              <a:ln w="25400">
                <a:solidFill>
                  <a:schemeClr val="bg1"/>
                </a:solidFill>
              </a:ln>
              <a:effectLst/>
              <a:sp3d contourW="25400">
                <a:contourClr>
                  <a:schemeClr val="bg1"/>
                </a:contourClr>
              </a:sp3d>
            </c:spPr>
            <c:extLst>
              <c:ext xmlns:c16="http://schemas.microsoft.com/office/drawing/2014/chart" uri="{C3380CC4-5D6E-409C-BE32-E72D297353CC}">
                <c16:uniqueId val="{00000005-E523-4394-8E0F-EAA78E20A7F5}"/>
              </c:ext>
            </c:extLst>
          </c:dPt>
          <c:dPt>
            <c:idx val="3"/>
            <c:bubble3D val="0"/>
            <c:spPr>
              <a:solidFill>
                <a:schemeClr val="accent4"/>
              </a:solidFill>
              <a:ln w="25400">
                <a:solidFill>
                  <a:schemeClr val="bg1"/>
                </a:solidFill>
              </a:ln>
              <a:effectLst/>
              <a:sp3d contourW="25400">
                <a:contourClr>
                  <a:schemeClr val="bg1"/>
                </a:contourClr>
              </a:sp3d>
            </c:spPr>
            <c:extLst>
              <c:ext xmlns:c16="http://schemas.microsoft.com/office/drawing/2014/chart" uri="{C3380CC4-5D6E-409C-BE32-E72D297353CC}">
                <c16:uniqueId val="{00000007-E523-4394-8E0F-EAA78E20A7F5}"/>
              </c:ext>
            </c:extLst>
          </c:dPt>
          <c:dPt>
            <c:idx val="4"/>
            <c:bubble3D val="0"/>
            <c:spPr>
              <a:solidFill>
                <a:schemeClr val="accent5"/>
              </a:solidFill>
              <a:ln w="25400">
                <a:solidFill>
                  <a:schemeClr val="bg1"/>
                </a:solidFill>
              </a:ln>
              <a:effectLst/>
              <a:sp3d contourW="25400">
                <a:contourClr>
                  <a:schemeClr val="bg1"/>
                </a:contourClr>
              </a:sp3d>
            </c:spPr>
            <c:extLst>
              <c:ext xmlns:c16="http://schemas.microsoft.com/office/drawing/2014/chart" uri="{C3380CC4-5D6E-409C-BE32-E72D297353CC}">
                <c16:uniqueId val="{00000009-E523-4394-8E0F-EAA78E20A7F5}"/>
              </c:ext>
            </c:extLst>
          </c:dPt>
          <c:dPt>
            <c:idx val="5"/>
            <c:bubble3D val="0"/>
            <c:spPr>
              <a:solidFill>
                <a:schemeClr val="accent6"/>
              </a:solidFill>
              <a:ln w="25400">
                <a:solidFill>
                  <a:schemeClr val="bg1"/>
                </a:solidFill>
              </a:ln>
              <a:effectLst/>
              <a:sp3d contourW="25400">
                <a:contourClr>
                  <a:schemeClr val="bg1"/>
                </a:contourClr>
              </a:sp3d>
            </c:spPr>
            <c:extLst>
              <c:ext xmlns:c16="http://schemas.microsoft.com/office/drawing/2014/chart" uri="{C3380CC4-5D6E-409C-BE32-E72D297353CC}">
                <c16:uniqueId val="{0000000B-E523-4394-8E0F-EAA78E20A7F5}"/>
              </c:ext>
            </c:extLst>
          </c:dPt>
          <c:dPt>
            <c:idx val="6"/>
            <c:bubble3D val="0"/>
            <c:spPr>
              <a:solidFill>
                <a:schemeClr val="accent1">
                  <a:lumMod val="60000"/>
                </a:schemeClr>
              </a:solidFill>
              <a:ln w="25400">
                <a:solidFill>
                  <a:schemeClr val="bg1"/>
                </a:solidFill>
              </a:ln>
              <a:effectLst/>
              <a:sp3d contourW="25400">
                <a:contourClr>
                  <a:schemeClr val="bg1"/>
                </a:contourClr>
              </a:sp3d>
            </c:spPr>
            <c:extLst>
              <c:ext xmlns:c16="http://schemas.microsoft.com/office/drawing/2014/chart" uri="{C3380CC4-5D6E-409C-BE32-E72D297353CC}">
                <c16:uniqueId val="{0000000D-E523-4394-8E0F-EAA78E20A7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CARDS AND PIVOT TABLES'!$M$4:$M$7</c:f>
              <c:strCache>
                <c:ptCount val="3"/>
                <c:pt idx="0">
                  <c:v>Highly Positive</c:v>
                </c:pt>
                <c:pt idx="1">
                  <c:v>Neutral</c:v>
                </c:pt>
                <c:pt idx="2">
                  <c:v>Positive</c:v>
                </c:pt>
              </c:strCache>
            </c:strRef>
          </c:cat>
          <c:val>
            <c:numRef>
              <c:f>'KPI CARDS AND PIVOT TABLES'!$N$4:$N$7</c:f>
              <c:numCache>
                <c:formatCode>General</c:formatCode>
                <c:ptCount val="3"/>
                <c:pt idx="0">
                  <c:v>5</c:v>
                </c:pt>
                <c:pt idx="1">
                  <c:v>5</c:v>
                </c:pt>
                <c:pt idx="2">
                  <c:v>8</c:v>
                </c:pt>
              </c:numCache>
            </c:numRef>
          </c:val>
          <c:extLst>
            <c:ext xmlns:c16="http://schemas.microsoft.com/office/drawing/2014/chart" uri="{C3380CC4-5D6E-409C-BE32-E72D297353CC}">
              <c16:uniqueId val="{0000000E-E523-4394-8E0F-EAA78E20A7F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b="100000"/>
      </a:path>
      <a:tileRect t="-100000" r="-100000"/>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[AI_Agent_Adoption_Workplace_Productivity_2024_2026Analyticsdashboard.xlsx]KPI CARDS AND PIVOT TABLES!PivotTable11</c:name>
    <c:fmtId val="3"/>
  </c:pivotSource>
  <c:chart>
    <c:title>
      <c:tx>
        <c:rich>
          <a:bodyPr rot="0" spcFirstLastPara="1" vertOverflow="ellipsis" vert="horz" wrap="square" anchor="ctr" anchorCtr="1"/>
          <a:lstStyle/>
          <a:p>
            <a:pPr algn="ctr">
              <a:defRPr sz="1400" b="0" i="0" u="none" strike="noStrike" kern="1200" spc="0" baseline="0">
                <a:solidFill>
                  <a:schemeClr val="tx1"/>
                </a:solidFill>
                <a:latin typeface="+mn-lt"/>
                <a:ea typeface="+mn-ea"/>
                <a:cs typeface="+mn-cs"/>
              </a:defRPr>
            </a:pPr>
            <a:r>
              <a:rPr lang="en-US" b="0">
                <a:solidFill>
                  <a:schemeClr val="tx1"/>
                </a:solidFill>
              </a:rPr>
              <a:t>Avg</a:t>
            </a:r>
            <a:r>
              <a:rPr lang="en-US" b="0" baseline="0">
                <a:solidFill>
                  <a:schemeClr val="tx1"/>
                </a:solidFill>
              </a:rPr>
              <a:t> Hours Saved By Year</a:t>
            </a:r>
          </a:p>
        </c:rich>
      </c:tx>
      <c:overlay val="0"/>
      <c:spPr>
        <a:gradFill>
          <a:gsLst>
            <a:gs pos="0">
              <a:schemeClr val="accent1">
                <a:lumMod val="40000"/>
                <a:lumOff val="60000"/>
              </a:schemeClr>
            </a:gs>
            <a:gs pos="50000">
              <a:schemeClr val="accent1">
                <a:lumMod val="105000"/>
                <a:satMod val="103000"/>
                <a:tint val="73000"/>
              </a:schemeClr>
            </a:gs>
            <a:gs pos="100000">
              <a:schemeClr val="accent1">
                <a:lumMod val="105000"/>
                <a:satMod val="109000"/>
                <a:tint val="81000"/>
              </a:schemeClr>
            </a:gs>
          </a:gsLst>
          <a:lin ang="5400000" scaled="0"/>
        </a:gradFill>
        <a:ln>
          <a:noFill/>
        </a:ln>
        <a:effectLst/>
      </c:spPr>
      <c:txPr>
        <a:bodyPr rot="0" spcFirstLastPara="1" vertOverflow="ellipsis" vert="horz" wrap="square" anchor="ctr" anchorCtr="1"/>
        <a:lstStyle/>
        <a:p>
          <a:pPr algn="ct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CARDS AND PIVOT TABLES'!$N$14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 CARDS AND PIVOT TABLES'!$M$15:$M$16</c:f>
              <c:strCache>
                <c:ptCount val="1"/>
                <c:pt idx="0">
                  <c:v>2026</c:v>
                </c:pt>
              </c:strCache>
            </c:strRef>
          </c:cat>
          <c:val>
            <c:numRef>
              <c:f>'KPI CARDS AND PIVOT TABLES'!$N$15:$N$16</c:f>
              <c:numCache>
                <c:formatCode>0</c:formatCode>
                <c:ptCount val="1"/>
                <c:pt idx="0">
                  <c:v>8.5722222222222246</c:v>
                </c:pt>
              </c:numCache>
            </c:numRef>
          </c:val>
          <c:smooth val="0"/>
          <c:extLst>
            <c:ext xmlns:c16="http://schemas.microsoft.com/office/drawing/2014/chart" uri="{C3380CC4-5D6E-409C-BE32-E72D297353CC}">
              <c16:uniqueId val="{00000000-BB93-4CFA-A6C9-26E688B4F158}"/>
            </c:ext>
          </c:extLst>
        </c:ser>
        <c:dLbls>
          <c:showLegendKey val="0"/>
          <c:showVal val="0"/>
          <c:showCatName val="0"/>
          <c:showSerName val="0"/>
          <c:showPercent val="0"/>
          <c:showBubbleSize val="0"/>
        </c:dLbls>
        <c:marker val="1"/>
        <c:smooth val="0"/>
        <c:axId val="704488848"/>
        <c:axId val="1250208048"/>
      </c:lineChart>
      <c:catAx>
        <c:axId val="70448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208048"/>
        <c:crosses val="autoZero"/>
        <c:auto val="1"/>
        <c:lblAlgn val="ctr"/>
        <c:lblOffset val="100"/>
        <c:noMultiLvlLbl val="0"/>
      </c:catAx>
      <c:valAx>
        <c:axId val="12502080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48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[AI_Agent_Adoption_Workplace_Productivity_2024_2026Analyticsdashboard.xlsx]KPI CARDS AND PIVOT TABLES!PivotTable12</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Training</a:t>
            </a:r>
            <a:r>
              <a:rPr lang="en-US" b="1" baseline="0">
                <a:solidFill>
                  <a:schemeClr val="tx1"/>
                </a:solidFill>
              </a:rPr>
              <a:t> Hours Vs Productivity Change</a:t>
            </a:r>
            <a:endParaRPr lang="en-US" b="1">
              <a:solidFill>
                <a:schemeClr val="tx1"/>
              </a:solidFill>
            </a:endParaRPr>
          </a:p>
        </c:rich>
      </c:tx>
      <c:overlay val="0"/>
      <c:spPr>
        <a:gradFill>
          <a:gsLst>
            <a:gs pos="0">
              <a:schemeClr val="accent1">
                <a:lumMod val="40000"/>
                <a:lumOff val="60000"/>
              </a:schemeClr>
            </a:gs>
            <a:gs pos="50000">
              <a:schemeClr val="accent1">
                <a:lumMod val="105000"/>
                <a:satMod val="103000"/>
                <a:tint val="73000"/>
              </a:schemeClr>
            </a:gs>
            <a:gs pos="100000">
              <a:schemeClr val="accent1">
                <a:lumMod val="105000"/>
                <a:satMod val="109000"/>
                <a:tint val="81000"/>
              </a:schemeClr>
            </a:gs>
          </a:gsLst>
          <a:lin ang="5400000" scaled="0"/>
        </a:gra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045093709914877E-2"/>
          <c:y val="0.15374434486245381"/>
          <c:w val="0.81957242283855813"/>
          <c:h val="0.8006587882330708"/>
        </c:manualLayout>
      </c:layout>
      <c:areaChart>
        <c:grouping val="standard"/>
        <c:varyColors val="0"/>
        <c:ser>
          <c:idx val="0"/>
          <c:order val="0"/>
          <c:tx>
            <c:strRef>
              <c:f>'KPI CARDS AND PIVOT TABLES'!$O$23</c:f>
              <c:strCache>
                <c:ptCount val="1"/>
                <c:pt idx="0">
                  <c:v>Total</c:v>
                </c:pt>
              </c:strCache>
            </c:strRef>
          </c:tx>
          <c:spPr>
            <a:solidFill>
              <a:schemeClr val="accent1"/>
            </a:solidFill>
            <a:ln>
              <a:noFill/>
            </a:ln>
            <a:effectLst/>
          </c:spPr>
          <c:cat>
            <c:strRef>
              <c:f>'KPI CARDS AND PIVOT TABLES'!$N$24:$N$39</c:f>
              <c:strCache>
                <c:ptCount val="15"/>
                <c:pt idx="0">
                  <c:v>0</c:v>
                </c:pt>
                <c:pt idx="1">
                  <c:v>3</c:v>
                </c:pt>
                <c:pt idx="2">
                  <c:v>7</c:v>
                </c:pt>
                <c:pt idx="3">
                  <c:v>17</c:v>
                </c:pt>
                <c:pt idx="4">
                  <c:v>22</c:v>
                </c:pt>
                <c:pt idx="5">
                  <c:v>31</c:v>
                </c:pt>
                <c:pt idx="6">
                  <c:v>32</c:v>
                </c:pt>
                <c:pt idx="7">
                  <c:v>33</c:v>
                </c:pt>
                <c:pt idx="8">
                  <c:v>35</c:v>
                </c:pt>
                <c:pt idx="9">
                  <c:v>37</c:v>
                </c:pt>
                <c:pt idx="10">
                  <c:v>39</c:v>
                </c:pt>
                <c:pt idx="11">
                  <c:v>42</c:v>
                </c:pt>
                <c:pt idx="12">
                  <c:v>45</c:v>
                </c:pt>
                <c:pt idx="13">
                  <c:v>51</c:v>
                </c:pt>
                <c:pt idx="14">
                  <c:v>71</c:v>
                </c:pt>
              </c:strCache>
            </c:strRef>
          </c:cat>
          <c:val>
            <c:numRef>
              <c:f>'KPI CARDS AND PIVOT TABLES'!$O$24:$O$39</c:f>
              <c:numCache>
                <c:formatCode>General</c:formatCode>
                <c:ptCount val="15"/>
                <c:pt idx="0">
                  <c:v>2.7</c:v>
                </c:pt>
                <c:pt idx="1">
                  <c:v>9.8000000000000007</c:v>
                </c:pt>
                <c:pt idx="2">
                  <c:v>10.5</c:v>
                </c:pt>
                <c:pt idx="3">
                  <c:v>31</c:v>
                </c:pt>
                <c:pt idx="4">
                  <c:v>10.199999999999999</c:v>
                </c:pt>
                <c:pt idx="5">
                  <c:v>14.4</c:v>
                </c:pt>
                <c:pt idx="6">
                  <c:v>7.1</c:v>
                </c:pt>
                <c:pt idx="7">
                  <c:v>19.899999999999999</c:v>
                </c:pt>
                <c:pt idx="8">
                  <c:v>20.6</c:v>
                </c:pt>
                <c:pt idx="9">
                  <c:v>22.9</c:v>
                </c:pt>
                <c:pt idx="10">
                  <c:v>18.899999999999999</c:v>
                </c:pt>
                <c:pt idx="11">
                  <c:v>-0.1</c:v>
                </c:pt>
                <c:pt idx="12">
                  <c:v>67.099999999999994</c:v>
                </c:pt>
                <c:pt idx="13">
                  <c:v>17.2</c:v>
                </c:pt>
                <c:pt idx="14">
                  <c:v>42.6</c:v>
                </c:pt>
              </c:numCache>
            </c:numRef>
          </c:val>
          <c:extLst>
            <c:ext xmlns:c16="http://schemas.microsoft.com/office/drawing/2014/chart" uri="{C3380CC4-5D6E-409C-BE32-E72D297353CC}">
              <c16:uniqueId val="{00000000-B3F6-4B0E-A9D0-A2D0A23E5BA7}"/>
            </c:ext>
          </c:extLst>
        </c:ser>
        <c:dLbls>
          <c:showLegendKey val="0"/>
          <c:showVal val="0"/>
          <c:showCatName val="0"/>
          <c:showSerName val="0"/>
          <c:showPercent val="0"/>
          <c:showBubbleSize val="0"/>
        </c:dLbls>
        <c:axId val="69291103"/>
        <c:axId val="1250145648"/>
      </c:areaChart>
      <c:catAx>
        <c:axId val="69291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145648"/>
        <c:crosses val="autoZero"/>
        <c:auto val="1"/>
        <c:lblAlgn val="ctr"/>
        <c:lblOffset val="100"/>
        <c:noMultiLvlLbl val="0"/>
      </c:catAx>
      <c:valAx>
        <c:axId val="1250145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9110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b="100000"/>
      </a:path>
      <a:tileRect t="-100000" r="-100000"/>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[AI_Agent_Adoption_Workplace_Productivity_2024_2026Analyticsdashboard.xlsx]KPI CARDS AND PIVOT TABLES!PivotTable13</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baseline="0">
                <a:solidFill>
                  <a:schemeClr val="dk1"/>
                </a:solidFill>
                <a:latin typeface="+mn-lt"/>
                <a:ea typeface="+mn-ea"/>
                <a:cs typeface="+mn-cs"/>
              </a:rPr>
              <a:t>Job Satisfaction By AI Usage </a:t>
            </a:r>
            <a:endParaRPr lang="en-US" b="1"/>
          </a:p>
        </c:rich>
      </c:tx>
      <c:layout>
        <c:manualLayout>
          <c:xMode val="edge"/>
          <c:yMode val="edge"/>
          <c:x val="0.18646447262954405"/>
          <c:y val="3.4163006344558322E-2"/>
        </c:manualLayout>
      </c:layout>
      <c:overlay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6350" cap="flat" cmpd="sng" algn="ctr">
          <a:solidFill>
            <a:schemeClr val="accent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86335202722134"/>
          <c:y val="0.15315214260121587"/>
          <c:w val="0.80649651648850895"/>
          <c:h val="0.75105749866532456"/>
        </c:manualLayout>
      </c:layout>
      <c:barChart>
        <c:barDir val="bar"/>
        <c:grouping val="stacked"/>
        <c:varyColors val="0"/>
        <c:ser>
          <c:idx val="0"/>
          <c:order val="0"/>
          <c:tx>
            <c:strRef>
              <c:f>'KPI CARDS AND PIVOT TABLES'!$B$20</c:f>
              <c:strCache>
                <c:ptCount val="1"/>
                <c:pt idx="0">
                  <c:v>Total</c:v>
                </c:pt>
              </c:strCache>
            </c:strRef>
          </c:tx>
          <c:spPr>
            <a:solidFill>
              <a:schemeClr val="accent1"/>
            </a:solidFill>
            <a:ln>
              <a:noFill/>
            </a:ln>
            <a:effectLst/>
          </c:spPr>
          <c:invertIfNegative val="0"/>
          <c:cat>
            <c:strRef>
              <c:f>'KPI CARDS AND PIVOT TABLES'!$A$21:$A$25</c:f>
              <c:strCache>
                <c:ptCount val="4"/>
                <c:pt idx="0">
                  <c:v>High</c:v>
                </c:pt>
                <c:pt idx="1">
                  <c:v>Low</c:v>
                </c:pt>
                <c:pt idx="2">
                  <c:v>Moderate</c:v>
                </c:pt>
                <c:pt idx="3">
                  <c:v>Very High</c:v>
                </c:pt>
              </c:strCache>
            </c:strRef>
          </c:cat>
          <c:val>
            <c:numRef>
              <c:f>'KPI CARDS AND PIVOT TABLES'!$B$21:$B$25</c:f>
              <c:numCache>
                <c:formatCode>0.0</c:formatCode>
                <c:ptCount val="4"/>
                <c:pt idx="0">
                  <c:v>5.8571428571428568</c:v>
                </c:pt>
                <c:pt idx="1">
                  <c:v>6.333333333333333</c:v>
                </c:pt>
                <c:pt idx="2">
                  <c:v>5.75</c:v>
                </c:pt>
                <c:pt idx="3">
                  <c:v>7.5</c:v>
                </c:pt>
              </c:numCache>
            </c:numRef>
          </c:val>
          <c:extLst>
            <c:ext xmlns:c16="http://schemas.microsoft.com/office/drawing/2014/chart" uri="{C3380CC4-5D6E-409C-BE32-E72D297353CC}">
              <c16:uniqueId val="{00000000-E344-45AA-9749-662986FFB668}"/>
            </c:ext>
          </c:extLst>
        </c:ser>
        <c:dLbls>
          <c:showLegendKey val="0"/>
          <c:showVal val="0"/>
          <c:showCatName val="0"/>
          <c:showSerName val="0"/>
          <c:showPercent val="0"/>
          <c:showBubbleSize val="0"/>
        </c:dLbls>
        <c:gapWidth val="150"/>
        <c:overlap val="100"/>
        <c:axId val="69367199"/>
        <c:axId val="1250160048"/>
      </c:barChart>
      <c:catAx>
        <c:axId val="69367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160048"/>
        <c:crosses val="autoZero"/>
        <c:auto val="1"/>
        <c:lblAlgn val="ctr"/>
        <c:lblOffset val="100"/>
        <c:noMultiLvlLbl val="0"/>
      </c:catAx>
      <c:valAx>
        <c:axId val="125016004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6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t="100000" r="100000"/>
      </a:path>
      <a:tileRect l="-100000" b="-100000"/>
    </a:gra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[AI_Agent_Adoption_Workplace_Productivity_2024_2026Analyticsdashboard.xlsx]KPI CARDS AND PIVOT TABLES!PivotTable14</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Job</a:t>
            </a:r>
            <a:r>
              <a:rPr lang="en-IN" b="1" baseline="0">
                <a:solidFill>
                  <a:schemeClr val="tx1"/>
                </a:solidFill>
              </a:rPr>
              <a:t> Risk By AI Usage Level</a:t>
            </a:r>
            <a:endParaRPr lang="en-IN" b="1">
              <a:solidFill>
                <a:schemeClr val="tx1"/>
              </a:solidFill>
            </a:endParaRPr>
          </a:p>
        </c:rich>
      </c:tx>
      <c:overlay val="0"/>
      <c:spPr>
        <a:gradFill>
          <a:gsLst>
            <a:gs pos="0">
              <a:schemeClr val="accent1">
                <a:lumMod val="40000"/>
                <a:lumOff val="60000"/>
              </a:schemeClr>
            </a:gs>
            <a:gs pos="50000">
              <a:schemeClr val="accent1">
                <a:lumMod val="105000"/>
                <a:satMod val="103000"/>
                <a:tint val="73000"/>
              </a:schemeClr>
            </a:gs>
            <a:gs pos="100000">
              <a:schemeClr val="accent1">
                <a:lumMod val="105000"/>
                <a:satMod val="109000"/>
                <a:tint val="81000"/>
              </a:schemeClr>
            </a:gs>
          </a:gsLst>
          <a:lin ang="5400000" scaled="0"/>
        </a:gra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31052381025508"/>
          <c:y val="0.15716458267437003"/>
          <c:w val="0.66827210595380204"/>
          <c:h val="0.74453544254974424"/>
        </c:manualLayout>
      </c:layout>
      <c:barChart>
        <c:barDir val="bar"/>
        <c:grouping val="stacked"/>
        <c:varyColors val="0"/>
        <c:ser>
          <c:idx val="0"/>
          <c:order val="0"/>
          <c:tx>
            <c:strRef>
              <c:f>'KPI CARDS AND PIVOT TABLES'!$E$40:$E$41</c:f>
              <c:strCache>
                <c:ptCount val="1"/>
                <c:pt idx="0">
                  <c:v>High</c:v>
                </c:pt>
              </c:strCache>
            </c:strRef>
          </c:tx>
          <c:spPr>
            <a:solidFill>
              <a:schemeClr val="accent1"/>
            </a:solidFill>
            <a:ln>
              <a:noFill/>
            </a:ln>
            <a:effectLst/>
          </c:spPr>
          <c:invertIfNegative val="0"/>
          <c:cat>
            <c:strRef>
              <c:f>'KPI CARDS AND PIVOT TABLES'!$D$42:$D$46</c:f>
              <c:strCache>
                <c:ptCount val="4"/>
                <c:pt idx="0">
                  <c:v>High</c:v>
                </c:pt>
                <c:pt idx="1">
                  <c:v>Low</c:v>
                </c:pt>
                <c:pt idx="2">
                  <c:v>Moderate</c:v>
                </c:pt>
                <c:pt idx="3">
                  <c:v>Very High</c:v>
                </c:pt>
              </c:strCache>
            </c:strRef>
          </c:cat>
          <c:val>
            <c:numRef>
              <c:f>'KPI CARDS AND PIVOT TABLES'!$E$42:$E$46</c:f>
              <c:numCache>
                <c:formatCode>General</c:formatCode>
                <c:ptCount val="4"/>
                <c:pt idx="0">
                  <c:v>3</c:v>
                </c:pt>
                <c:pt idx="1">
                  <c:v>3</c:v>
                </c:pt>
                <c:pt idx="2">
                  <c:v>1</c:v>
                </c:pt>
              </c:numCache>
            </c:numRef>
          </c:val>
          <c:extLst>
            <c:ext xmlns:c16="http://schemas.microsoft.com/office/drawing/2014/chart" uri="{C3380CC4-5D6E-409C-BE32-E72D297353CC}">
              <c16:uniqueId val="{00000000-E5B0-41BA-BB95-EE6325432CD8}"/>
            </c:ext>
          </c:extLst>
        </c:ser>
        <c:ser>
          <c:idx val="1"/>
          <c:order val="1"/>
          <c:tx>
            <c:strRef>
              <c:f>'KPI CARDS AND PIVOT TABLES'!$F$40:$F$41</c:f>
              <c:strCache>
                <c:ptCount val="1"/>
                <c:pt idx="0">
                  <c:v>Low</c:v>
                </c:pt>
              </c:strCache>
            </c:strRef>
          </c:tx>
          <c:spPr>
            <a:solidFill>
              <a:schemeClr val="accent2"/>
            </a:solidFill>
            <a:ln>
              <a:noFill/>
            </a:ln>
            <a:effectLst/>
          </c:spPr>
          <c:invertIfNegative val="0"/>
          <c:cat>
            <c:strRef>
              <c:f>'KPI CARDS AND PIVOT TABLES'!$D$42:$D$46</c:f>
              <c:strCache>
                <c:ptCount val="4"/>
                <c:pt idx="0">
                  <c:v>High</c:v>
                </c:pt>
                <c:pt idx="1">
                  <c:v>Low</c:v>
                </c:pt>
                <c:pt idx="2">
                  <c:v>Moderate</c:v>
                </c:pt>
                <c:pt idx="3">
                  <c:v>Very High</c:v>
                </c:pt>
              </c:strCache>
            </c:strRef>
          </c:cat>
          <c:val>
            <c:numRef>
              <c:f>'KPI CARDS AND PIVOT TABLES'!$F$42:$F$46</c:f>
              <c:numCache>
                <c:formatCode>General</c:formatCode>
                <c:ptCount val="4"/>
                <c:pt idx="0">
                  <c:v>1</c:v>
                </c:pt>
                <c:pt idx="1">
                  <c:v>2</c:v>
                </c:pt>
              </c:numCache>
            </c:numRef>
          </c:val>
          <c:extLst>
            <c:ext xmlns:c16="http://schemas.microsoft.com/office/drawing/2014/chart" uri="{C3380CC4-5D6E-409C-BE32-E72D297353CC}">
              <c16:uniqueId val="{00000029-E5B0-41BA-BB95-EE6325432CD8}"/>
            </c:ext>
          </c:extLst>
        </c:ser>
        <c:ser>
          <c:idx val="2"/>
          <c:order val="2"/>
          <c:tx>
            <c:strRef>
              <c:f>'KPI CARDS AND PIVOT TABLES'!$G$40:$G$41</c:f>
              <c:strCache>
                <c:ptCount val="1"/>
                <c:pt idx="0">
                  <c:v>Moderate</c:v>
                </c:pt>
              </c:strCache>
            </c:strRef>
          </c:tx>
          <c:spPr>
            <a:solidFill>
              <a:schemeClr val="accent3"/>
            </a:solidFill>
            <a:ln>
              <a:noFill/>
            </a:ln>
            <a:effectLst/>
          </c:spPr>
          <c:invertIfNegative val="0"/>
          <c:cat>
            <c:strRef>
              <c:f>'KPI CARDS AND PIVOT TABLES'!$D$42:$D$46</c:f>
              <c:strCache>
                <c:ptCount val="4"/>
                <c:pt idx="0">
                  <c:v>High</c:v>
                </c:pt>
                <c:pt idx="1">
                  <c:v>Low</c:v>
                </c:pt>
                <c:pt idx="2">
                  <c:v>Moderate</c:v>
                </c:pt>
                <c:pt idx="3">
                  <c:v>Very High</c:v>
                </c:pt>
              </c:strCache>
            </c:strRef>
          </c:cat>
          <c:val>
            <c:numRef>
              <c:f>'KPI CARDS AND PIVOT TABLES'!$G$42:$G$46</c:f>
              <c:numCache>
                <c:formatCode>General</c:formatCode>
                <c:ptCount val="4"/>
                <c:pt idx="0">
                  <c:v>1</c:v>
                </c:pt>
                <c:pt idx="1">
                  <c:v>1</c:v>
                </c:pt>
                <c:pt idx="2">
                  <c:v>2</c:v>
                </c:pt>
              </c:numCache>
            </c:numRef>
          </c:val>
          <c:extLst>
            <c:ext xmlns:c16="http://schemas.microsoft.com/office/drawing/2014/chart" uri="{C3380CC4-5D6E-409C-BE32-E72D297353CC}">
              <c16:uniqueId val="{0000002A-E5B0-41BA-BB95-EE6325432CD8}"/>
            </c:ext>
          </c:extLst>
        </c:ser>
        <c:ser>
          <c:idx val="3"/>
          <c:order val="3"/>
          <c:tx>
            <c:strRef>
              <c:f>'KPI CARDS AND PIVOT TABLES'!$H$40:$H$41</c:f>
              <c:strCache>
                <c:ptCount val="1"/>
                <c:pt idx="0">
                  <c:v>Very High</c:v>
                </c:pt>
              </c:strCache>
            </c:strRef>
          </c:tx>
          <c:spPr>
            <a:solidFill>
              <a:schemeClr val="accent4"/>
            </a:solidFill>
            <a:ln>
              <a:noFill/>
            </a:ln>
            <a:effectLst/>
          </c:spPr>
          <c:invertIfNegative val="0"/>
          <c:cat>
            <c:strRef>
              <c:f>'KPI CARDS AND PIVOT TABLES'!$D$42:$D$46</c:f>
              <c:strCache>
                <c:ptCount val="4"/>
                <c:pt idx="0">
                  <c:v>High</c:v>
                </c:pt>
                <c:pt idx="1">
                  <c:v>Low</c:v>
                </c:pt>
                <c:pt idx="2">
                  <c:v>Moderate</c:v>
                </c:pt>
                <c:pt idx="3">
                  <c:v>Very High</c:v>
                </c:pt>
              </c:strCache>
            </c:strRef>
          </c:cat>
          <c:val>
            <c:numRef>
              <c:f>'KPI CARDS AND PIVOT TABLES'!$H$42:$H$46</c:f>
              <c:numCache>
                <c:formatCode>General</c:formatCode>
                <c:ptCount val="4"/>
                <c:pt idx="1">
                  <c:v>2</c:v>
                </c:pt>
                <c:pt idx="2">
                  <c:v>1</c:v>
                </c:pt>
                <c:pt idx="3">
                  <c:v>1</c:v>
                </c:pt>
              </c:numCache>
            </c:numRef>
          </c:val>
          <c:extLst>
            <c:ext xmlns:c16="http://schemas.microsoft.com/office/drawing/2014/chart" uri="{C3380CC4-5D6E-409C-BE32-E72D297353CC}">
              <c16:uniqueId val="{0000002B-E5B0-41BA-BB95-EE6325432CD8}"/>
            </c:ext>
          </c:extLst>
        </c:ser>
        <c:dLbls>
          <c:showLegendKey val="0"/>
          <c:showVal val="0"/>
          <c:showCatName val="0"/>
          <c:showSerName val="0"/>
          <c:showPercent val="0"/>
          <c:showBubbleSize val="0"/>
        </c:dLbls>
        <c:gapWidth val="150"/>
        <c:overlap val="100"/>
        <c:axId val="65852703"/>
        <c:axId val="1250082288"/>
      </c:barChart>
      <c:catAx>
        <c:axId val="65852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082288"/>
        <c:crosses val="autoZero"/>
        <c:auto val="1"/>
        <c:lblAlgn val="ctr"/>
        <c:lblOffset val="100"/>
        <c:noMultiLvlLbl val="0"/>
      </c:catAx>
      <c:valAx>
        <c:axId val="1250082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5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microsoft.com/office/2007/relationships/hdphoto" Target="../media/hdphoto1.wdp"/><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image" Target="../media/image5.png"/><Relationship Id="rId17" Type="http://schemas.openxmlformats.org/officeDocument/2006/relationships/image" Target="../media/image9.png"/><Relationship Id="rId2" Type="http://schemas.openxmlformats.org/officeDocument/2006/relationships/chart" Target="../charts/chart9.xml"/><Relationship Id="rId16" Type="http://schemas.openxmlformats.org/officeDocument/2006/relationships/image" Target="../media/image8.png"/><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4.png"/><Relationship Id="rId5" Type="http://schemas.openxmlformats.org/officeDocument/2006/relationships/chart" Target="../charts/chart12.xml"/><Relationship Id="rId15" Type="http://schemas.openxmlformats.org/officeDocument/2006/relationships/image" Target="../media/image7.png"/><Relationship Id="rId10" Type="http://schemas.openxmlformats.org/officeDocument/2006/relationships/image" Target="../media/image3.png"/><Relationship Id="rId4" Type="http://schemas.openxmlformats.org/officeDocument/2006/relationships/chart" Target="../charts/chart11.xml"/><Relationship Id="rId9" Type="http://schemas.openxmlformats.org/officeDocument/2006/relationships/image" Target="../media/image2.png"/><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5</xdr:col>
      <xdr:colOff>175260</xdr:colOff>
      <xdr:row>1</xdr:row>
      <xdr:rowOff>91440</xdr:rowOff>
    </xdr:from>
    <xdr:to>
      <xdr:col>10</xdr:col>
      <xdr:colOff>236220</xdr:colOff>
      <xdr:row>12</xdr:row>
      <xdr:rowOff>175260</xdr:rowOff>
    </xdr:to>
    <xdr:graphicFrame macro="">
      <xdr:nvGraphicFramePr>
        <xdr:cNvPr id="2" name="Chart 1">
          <a:extLst>
            <a:ext uri="{FF2B5EF4-FFF2-40B4-BE49-F238E27FC236}">
              <a16:creationId xmlns:a16="http://schemas.microsoft.com/office/drawing/2014/main" id="{861B6D70-5B3B-89DE-2877-5B0B287B38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68580</xdr:colOff>
      <xdr:row>13</xdr:row>
      <xdr:rowOff>175260</xdr:rowOff>
    </xdr:from>
    <xdr:to>
      <xdr:col>11</xdr:col>
      <xdr:colOff>388620</xdr:colOff>
      <xdr:row>28</xdr:row>
      <xdr:rowOff>0</xdr:rowOff>
    </xdr:to>
    <xdr:graphicFrame macro="">
      <xdr:nvGraphicFramePr>
        <xdr:cNvPr id="3" name="Chart 2">
          <a:extLst>
            <a:ext uri="{FF2B5EF4-FFF2-40B4-BE49-F238E27FC236}">
              <a16:creationId xmlns:a16="http://schemas.microsoft.com/office/drawing/2014/main" id="{1AA57545-BAFB-C164-579F-9BD7644CD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297180</xdr:colOff>
      <xdr:row>1</xdr:row>
      <xdr:rowOff>22860</xdr:rowOff>
    </xdr:from>
    <xdr:to>
      <xdr:col>18</xdr:col>
      <xdr:colOff>464820</xdr:colOff>
      <xdr:row>11</xdr:row>
      <xdr:rowOff>22860</xdr:rowOff>
    </xdr:to>
    <xdr:graphicFrame macro="">
      <xdr:nvGraphicFramePr>
        <xdr:cNvPr id="4" name="Chart 3">
          <a:extLst>
            <a:ext uri="{FF2B5EF4-FFF2-40B4-BE49-F238E27FC236}">
              <a16:creationId xmlns:a16="http://schemas.microsoft.com/office/drawing/2014/main" id="{FA3A8152-86C6-6BC4-2268-16B27C857B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53340</xdr:colOff>
      <xdr:row>12</xdr:row>
      <xdr:rowOff>7620</xdr:rowOff>
    </xdr:from>
    <xdr:to>
      <xdr:col>19</xdr:col>
      <xdr:colOff>281940</xdr:colOff>
      <xdr:row>19</xdr:row>
      <xdr:rowOff>60960</xdr:rowOff>
    </xdr:to>
    <xdr:graphicFrame macro="">
      <xdr:nvGraphicFramePr>
        <xdr:cNvPr id="5" name="Chart 4">
          <a:extLst>
            <a:ext uri="{FF2B5EF4-FFF2-40B4-BE49-F238E27FC236}">
              <a16:creationId xmlns:a16="http://schemas.microsoft.com/office/drawing/2014/main" id="{FBDDA552-A463-3CDA-2552-7C014CB85C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45720</xdr:colOff>
      <xdr:row>20</xdr:row>
      <xdr:rowOff>83820</xdr:rowOff>
    </xdr:from>
    <xdr:to>
      <xdr:col>20</xdr:col>
      <xdr:colOff>129540</xdr:colOff>
      <xdr:row>35</xdr:row>
      <xdr:rowOff>26670</xdr:rowOff>
    </xdr:to>
    <xdr:graphicFrame macro="">
      <xdr:nvGraphicFramePr>
        <xdr:cNvPr id="6" name="Chart 5">
          <a:extLst>
            <a:ext uri="{FF2B5EF4-FFF2-40B4-BE49-F238E27FC236}">
              <a16:creationId xmlns:a16="http://schemas.microsoft.com/office/drawing/2014/main" id="{065ADA63-489B-8FC0-89F9-52DA8A7C30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68580</xdr:colOff>
      <xdr:row>26</xdr:row>
      <xdr:rowOff>152400</xdr:rowOff>
    </xdr:from>
    <xdr:to>
      <xdr:col>2</xdr:col>
      <xdr:colOff>68580</xdr:colOff>
      <xdr:row>41</xdr:row>
      <xdr:rowOff>11430</xdr:rowOff>
    </xdr:to>
    <xdr:graphicFrame macro="">
      <xdr:nvGraphicFramePr>
        <xdr:cNvPr id="7" name="Chart 6">
          <a:extLst>
            <a:ext uri="{FF2B5EF4-FFF2-40B4-BE49-F238E27FC236}">
              <a16:creationId xmlns:a16="http://schemas.microsoft.com/office/drawing/2014/main" id="{7136CB72-8A65-7878-81A4-13C3190FDE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701040</xdr:colOff>
      <xdr:row>48</xdr:row>
      <xdr:rowOff>34290</xdr:rowOff>
    </xdr:from>
    <xdr:to>
      <xdr:col>5</xdr:col>
      <xdr:colOff>510540</xdr:colOff>
      <xdr:row>63</xdr:row>
      <xdr:rowOff>34290</xdr:rowOff>
    </xdr:to>
    <xdr:graphicFrame macro="">
      <xdr:nvGraphicFramePr>
        <xdr:cNvPr id="8" name="Chart 7">
          <a:extLst>
            <a:ext uri="{FF2B5EF4-FFF2-40B4-BE49-F238E27FC236}">
              <a16:creationId xmlns:a16="http://schemas.microsoft.com/office/drawing/2014/main" id="{69059FD7-FF91-17BF-7DD1-348E2C6234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24580</xdr:colOff>
      <xdr:row>50</xdr:row>
      <xdr:rowOff>0</xdr:rowOff>
    </xdr:to>
    <xdr:sp macro="" textlink="">
      <xdr:nvSpPr>
        <xdr:cNvPr id="2" name="Rectangle 1">
          <a:extLst>
            <a:ext uri="{FF2B5EF4-FFF2-40B4-BE49-F238E27FC236}">
              <a16:creationId xmlns:a16="http://schemas.microsoft.com/office/drawing/2014/main" id="{5A672D99-A370-EABE-9480-0E3CBFA034A7}"/>
            </a:ext>
          </a:extLst>
        </xdr:cNvPr>
        <xdr:cNvSpPr/>
      </xdr:nvSpPr>
      <xdr:spPr>
        <a:xfrm>
          <a:off x="0" y="0"/>
          <a:ext cx="19074580" cy="9217742"/>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8466</xdr:colOff>
      <xdr:row>0</xdr:row>
      <xdr:rowOff>10583</xdr:rowOff>
    </xdr:from>
    <xdr:to>
      <xdr:col>31</xdr:col>
      <xdr:colOff>10584</xdr:colOff>
      <xdr:row>5</xdr:row>
      <xdr:rowOff>35164</xdr:rowOff>
    </xdr:to>
    <xdr:sp macro="" textlink="">
      <xdr:nvSpPr>
        <xdr:cNvPr id="3" name="Rectangle 2">
          <a:extLst>
            <a:ext uri="{FF2B5EF4-FFF2-40B4-BE49-F238E27FC236}">
              <a16:creationId xmlns:a16="http://schemas.microsoft.com/office/drawing/2014/main" id="{83903890-81D5-1603-CCBA-9B33C305CAA9}"/>
            </a:ext>
          </a:extLst>
        </xdr:cNvPr>
        <xdr:cNvSpPr/>
      </xdr:nvSpPr>
      <xdr:spPr>
        <a:xfrm>
          <a:off x="8466" y="10583"/>
          <a:ext cx="19030951" cy="924164"/>
        </a:xfrm>
        <a:prstGeom prst="rect">
          <a:avLst/>
        </a:prstGeom>
        <a:solidFill>
          <a:schemeClr val="accent1">
            <a:lumMod val="5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a:solidFill>
                <a:schemeClr val="bg1"/>
              </a:solidFill>
            </a:rPr>
            <a:t>                 AI_AGENT_ADOPTION_WORKPLACE_PRODUCTIVITY</a:t>
          </a:r>
        </a:p>
        <a:p>
          <a:pPr algn="l"/>
          <a:r>
            <a:rPr lang="en-IN" sz="1800">
              <a:solidFill>
                <a:schemeClr val="bg1"/>
              </a:solidFill>
            </a:rPr>
            <a:t>                              2024-2026</a:t>
          </a:r>
          <a:r>
            <a:rPr lang="en-IN" sz="1800" baseline="0">
              <a:solidFill>
                <a:schemeClr val="bg1"/>
              </a:solidFill>
            </a:rPr>
            <a:t> | Interactive Analytics Dashboard</a:t>
          </a:r>
          <a:endParaRPr lang="en-IN" sz="1800">
            <a:solidFill>
              <a:schemeClr val="bg1"/>
            </a:solidFill>
          </a:endParaRPr>
        </a:p>
      </xdr:txBody>
    </xdr:sp>
    <xdr:clientData/>
  </xdr:twoCellAnchor>
  <xdr:twoCellAnchor>
    <xdr:from>
      <xdr:col>0</xdr:col>
      <xdr:colOff>96788</xdr:colOff>
      <xdr:row>5</xdr:row>
      <xdr:rowOff>103909</xdr:rowOff>
    </xdr:from>
    <xdr:to>
      <xdr:col>4</xdr:col>
      <xdr:colOff>150092</xdr:colOff>
      <xdr:row>13</xdr:row>
      <xdr:rowOff>46181</xdr:rowOff>
    </xdr:to>
    <xdr:sp macro="" textlink="">
      <xdr:nvSpPr>
        <xdr:cNvPr id="4" name="Rectangle: Rounded Corners 3">
          <a:extLst>
            <a:ext uri="{FF2B5EF4-FFF2-40B4-BE49-F238E27FC236}">
              <a16:creationId xmlns:a16="http://schemas.microsoft.com/office/drawing/2014/main" id="{D8B53174-DED5-6863-CF27-B95DA30C7639}"/>
            </a:ext>
          </a:extLst>
        </xdr:cNvPr>
        <xdr:cNvSpPr/>
      </xdr:nvSpPr>
      <xdr:spPr>
        <a:xfrm>
          <a:off x="96788" y="1027545"/>
          <a:ext cx="2500940" cy="1420091"/>
        </a:xfrm>
        <a:prstGeom prst="roundRect">
          <a:avLst/>
        </a:prstGeom>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307872</xdr:colOff>
      <xdr:row>5</xdr:row>
      <xdr:rowOff>110613</xdr:rowOff>
    </xdr:from>
    <xdr:to>
      <xdr:col>26</xdr:col>
      <xdr:colOff>381000</xdr:colOff>
      <xdr:row>13</xdr:row>
      <xdr:rowOff>69272</xdr:rowOff>
    </xdr:to>
    <xdr:sp macro="" textlink="">
      <xdr:nvSpPr>
        <xdr:cNvPr id="9" name="Rectangle: Rounded Corners 8">
          <a:extLst>
            <a:ext uri="{FF2B5EF4-FFF2-40B4-BE49-F238E27FC236}">
              <a16:creationId xmlns:a16="http://schemas.microsoft.com/office/drawing/2014/main" id="{372861A2-0FB6-437E-A9A4-6A134E94E545}"/>
            </a:ext>
          </a:extLst>
        </xdr:cNvPr>
        <xdr:cNvSpPr/>
      </xdr:nvSpPr>
      <xdr:spPr>
        <a:xfrm>
          <a:off x="13769872" y="1034249"/>
          <a:ext cx="2520764" cy="1436478"/>
        </a:xfrm>
        <a:prstGeom prst="roundRect">
          <a:avLst/>
        </a:prstGeom>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13</xdr:row>
      <xdr:rowOff>121921</xdr:rowOff>
    </xdr:from>
    <xdr:to>
      <xdr:col>5</xdr:col>
      <xdr:colOff>137160</xdr:colOff>
      <xdr:row>30</xdr:row>
      <xdr:rowOff>147485</xdr:rowOff>
    </xdr:to>
    <xdr:graphicFrame macro="">
      <xdr:nvGraphicFramePr>
        <xdr:cNvPr id="11" name="Chart 10">
          <a:extLst>
            <a:ext uri="{FF2B5EF4-FFF2-40B4-BE49-F238E27FC236}">
              <a16:creationId xmlns:a16="http://schemas.microsoft.com/office/drawing/2014/main" id="{3C625DC8-423D-43F6-A786-A30D2801D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247650</xdr:colOff>
      <xdr:row>13</xdr:row>
      <xdr:rowOff>111760</xdr:rowOff>
    </xdr:from>
    <xdr:to>
      <xdr:col>11</xdr:col>
      <xdr:colOff>567690</xdr:colOff>
      <xdr:row>30</xdr:row>
      <xdr:rowOff>147484</xdr:rowOff>
    </xdr:to>
    <xdr:graphicFrame macro="">
      <xdr:nvGraphicFramePr>
        <xdr:cNvPr id="12" name="Chart 11">
          <a:extLst>
            <a:ext uri="{FF2B5EF4-FFF2-40B4-BE49-F238E27FC236}">
              <a16:creationId xmlns:a16="http://schemas.microsoft.com/office/drawing/2014/main" id="{596BBB6F-CC6A-4C6A-9D48-6D824A7C73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36872</xdr:colOff>
      <xdr:row>13</xdr:row>
      <xdr:rowOff>152399</xdr:rowOff>
    </xdr:from>
    <xdr:to>
      <xdr:col>18</xdr:col>
      <xdr:colOff>540776</xdr:colOff>
      <xdr:row>30</xdr:row>
      <xdr:rowOff>122902</xdr:rowOff>
    </xdr:to>
    <xdr:graphicFrame macro="">
      <xdr:nvGraphicFramePr>
        <xdr:cNvPr id="13" name="Chart 12">
          <a:extLst>
            <a:ext uri="{FF2B5EF4-FFF2-40B4-BE49-F238E27FC236}">
              <a16:creationId xmlns:a16="http://schemas.microsoft.com/office/drawing/2014/main" id="{F79C06F4-5540-42DC-B0EE-63A3D905B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27962</xdr:colOff>
      <xdr:row>14</xdr:row>
      <xdr:rowOff>40640</xdr:rowOff>
    </xdr:from>
    <xdr:to>
      <xdr:col>24</xdr:col>
      <xdr:colOff>73743</xdr:colOff>
      <xdr:row>30</xdr:row>
      <xdr:rowOff>98322</xdr:rowOff>
    </xdr:to>
    <xdr:graphicFrame macro="">
      <xdr:nvGraphicFramePr>
        <xdr:cNvPr id="14" name="Chart 13">
          <a:extLst>
            <a:ext uri="{FF2B5EF4-FFF2-40B4-BE49-F238E27FC236}">
              <a16:creationId xmlns:a16="http://schemas.microsoft.com/office/drawing/2014/main" id="{9431AFE5-16BB-4A13-8805-4630FBB33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84189</xdr:colOff>
      <xdr:row>31</xdr:row>
      <xdr:rowOff>50800</xdr:rowOff>
    </xdr:from>
    <xdr:to>
      <xdr:col>8</xdr:col>
      <xdr:colOff>577646</xdr:colOff>
      <xdr:row>48</xdr:row>
      <xdr:rowOff>152709</xdr:rowOff>
    </xdr:to>
    <xdr:graphicFrame macro="">
      <xdr:nvGraphicFramePr>
        <xdr:cNvPr id="15" name="Chart 14">
          <a:extLst>
            <a:ext uri="{FF2B5EF4-FFF2-40B4-BE49-F238E27FC236}">
              <a16:creationId xmlns:a16="http://schemas.microsoft.com/office/drawing/2014/main" id="{41E8E0AF-4881-4046-A5D6-D816CF75F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61451</xdr:colOff>
      <xdr:row>31</xdr:row>
      <xdr:rowOff>50800</xdr:rowOff>
    </xdr:from>
    <xdr:to>
      <xdr:col>15</xdr:col>
      <xdr:colOff>540774</xdr:colOff>
      <xdr:row>48</xdr:row>
      <xdr:rowOff>122905</xdr:rowOff>
    </xdr:to>
    <xdr:graphicFrame macro="">
      <xdr:nvGraphicFramePr>
        <xdr:cNvPr id="16" name="Chart 15">
          <a:extLst>
            <a:ext uri="{FF2B5EF4-FFF2-40B4-BE49-F238E27FC236}">
              <a16:creationId xmlns:a16="http://schemas.microsoft.com/office/drawing/2014/main" id="{306C5ED9-BE0A-410B-A5E7-8CE99C802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42095</xdr:colOff>
      <xdr:row>31</xdr:row>
      <xdr:rowOff>40641</xdr:rowOff>
    </xdr:from>
    <xdr:to>
      <xdr:col>23</xdr:col>
      <xdr:colOff>368710</xdr:colOff>
      <xdr:row>48</xdr:row>
      <xdr:rowOff>110613</xdr:rowOff>
    </xdr:to>
    <xdr:graphicFrame macro="">
      <xdr:nvGraphicFramePr>
        <xdr:cNvPr id="17" name="Chart 16">
          <a:extLst>
            <a:ext uri="{FF2B5EF4-FFF2-40B4-BE49-F238E27FC236}">
              <a16:creationId xmlns:a16="http://schemas.microsoft.com/office/drawing/2014/main" id="{6F7F5C3F-CD21-4DB7-90B5-F7817E42B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24</xdr:col>
      <xdr:colOff>221225</xdr:colOff>
      <xdr:row>20</xdr:row>
      <xdr:rowOff>135192</xdr:rowOff>
    </xdr:from>
    <xdr:to>
      <xdr:col>30</xdr:col>
      <xdr:colOff>540773</xdr:colOff>
      <xdr:row>31</xdr:row>
      <xdr:rowOff>110611</xdr:rowOff>
    </xdr:to>
    <mc:AlternateContent xmlns:mc="http://schemas.openxmlformats.org/markup-compatibility/2006">
      <mc:Choice xmlns:a14="http://schemas.microsoft.com/office/drawing/2010/main" Requires="a14">
        <xdr:graphicFrame macro="">
          <xdr:nvGraphicFramePr>
            <xdr:cNvPr id="18" name="Country">
              <a:extLst>
                <a:ext uri="{FF2B5EF4-FFF2-40B4-BE49-F238E27FC236}">
                  <a16:creationId xmlns:a16="http://schemas.microsoft.com/office/drawing/2014/main" id="{23376A28-F006-86C2-2CD4-01B9BE78D9D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4725501" y="3813813"/>
              <a:ext cx="3945617" cy="1998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270387</xdr:colOff>
      <xdr:row>14</xdr:row>
      <xdr:rowOff>12292</xdr:rowOff>
    </xdr:from>
    <xdr:to>
      <xdr:col>30</xdr:col>
      <xdr:colOff>565355</xdr:colOff>
      <xdr:row>20</xdr:row>
      <xdr:rowOff>49161</xdr:rowOff>
    </xdr:to>
    <mc:AlternateContent xmlns:mc="http://schemas.openxmlformats.org/markup-compatibility/2006">
      <mc:Choice xmlns:a14="http://schemas.microsoft.com/office/drawing/2010/main" Requires="a14">
        <xdr:graphicFrame macro="">
          <xdr:nvGraphicFramePr>
            <xdr:cNvPr id="19" name="Year">
              <a:extLst>
                <a:ext uri="{FF2B5EF4-FFF2-40B4-BE49-F238E27FC236}">
                  <a16:creationId xmlns:a16="http://schemas.microsoft.com/office/drawing/2014/main" id="{29B76426-80B6-72FC-C676-0BD00BE3F0A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7192042" y="2587326"/>
              <a:ext cx="1503658" cy="1140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495791</xdr:colOff>
      <xdr:row>32</xdr:row>
      <xdr:rowOff>49160</xdr:rowOff>
    </xdr:from>
    <xdr:to>
      <xdr:col>30</xdr:col>
      <xdr:colOff>565355</xdr:colOff>
      <xdr:row>39</xdr:row>
      <xdr:rowOff>159774</xdr:rowOff>
    </xdr:to>
    <mc:AlternateContent xmlns:mc="http://schemas.openxmlformats.org/markup-compatibility/2006">
      <mc:Choice xmlns:a14="http://schemas.microsoft.com/office/drawing/2010/main" Requires="a14">
        <xdr:graphicFrame macro="">
          <xdr:nvGraphicFramePr>
            <xdr:cNvPr id="20" name="Industry">
              <a:extLst>
                <a:ext uri="{FF2B5EF4-FFF2-40B4-BE49-F238E27FC236}">
                  <a16:creationId xmlns:a16="http://schemas.microsoft.com/office/drawing/2014/main" id="{D35A4E04-4054-1459-BD74-AE8977A76DF3}"/>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dr:sp macro="" textlink="">
          <xdr:nvSpPr>
            <xdr:cNvPr id="0" name=""/>
            <xdr:cNvSpPr>
              <a:spLocks noTextEdit="1"/>
            </xdr:cNvSpPr>
          </xdr:nvSpPr>
          <xdr:spPr>
            <a:xfrm>
              <a:off x="14395722" y="5934953"/>
              <a:ext cx="4299978" cy="1398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163954</xdr:colOff>
      <xdr:row>14</xdr:row>
      <xdr:rowOff>12290</xdr:rowOff>
    </xdr:from>
    <xdr:to>
      <xdr:col>28</xdr:col>
      <xdr:colOff>196645</xdr:colOff>
      <xdr:row>20</xdr:row>
      <xdr:rowOff>49161</xdr:rowOff>
    </xdr:to>
    <mc:AlternateContent xmlns:mc="http://schemas.openxmlformats.org/markup-compatibility/2006">
      <mc:Choice xmlns:a14="http://schemas.microsoft.com/office/drawing/2010/main" Requires="a14">
        <xdr:graphicFrame macro="">
          <xdr:nvGraphicFramePr>
            <xdr:cNvPr id="21" name="AI_Agent_Usage">
              <a:extLst>
                <a:ext uri="{FF2B5EF4-FFF2-40B4-BE49-F238E27FC236}">
                  <a16:creationId xmlns:a16="http://schemas.microsoft.com/office/drawing/2014/main" id="{F43CD8F3-7D32-68BF-2106-3442C6254900}"/>
                </a:ext>
              </a:extLst>
            </xdr:cNvPr>
            <xdr:cNvGraphicFramePr/>
          </xdr:nvGraphicFramePr>
          <xdr:xfrm>
            <a:off x="0" y="0"/>
            <a:ext cx="0" cy="0"/>
          </xdr:xfrm>
          <a:graphic>
            <a:graphicData uri="http://schemas.microsoft.com/office/drawing/2010/slicer">
              <sle:slicer xmlns:sle="http://schemas.microsoft.com/office/drawing/2010/slicer" name="AI_Agent_Usage"/>
            </a:graphicData>
          </a:graphic>
        </xdr:graphicFrame>
      </mc:Choice>
      <mc:Fallback>
        <xdr:sp macro="" textlink="">
          <xdr:nvSpPr>
            <xdr:cNvPr id="0" name=""/>
            <xdr:cNvSpPr>
              <a:spLocks noTextEdit="1"/>
            </xdr:cNvSpPr>
          </xdr:nvSpPr>
          <xdr:spPr>
            <a:xfrm>
              <a:off x="14668230" y="2587324"/>
              <a:ext cx="2450070" cy="1140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495792</xdr:colOff>
      <xdr:row>40</xdr:row>
      <xdr:rowOff>98322</xdr:rowOff>
    </xdr:from>
    <xdr:to>
      <xdr:col>30</xdr:col>
      <xdr:colOff>577645</xdr:colOff>
      <xdr:row>49</xdr:row>
      <xdr:rowOff>110613</xdr:rowOff>
    </xdr:to>
    <mc:AlternateContent xmlns:mc="http://schemas.openxmlformats.org/markup-compatibility/2006">
      <mc:Choice xmlns:a14="http://schemas.microsoft.com/office/drawing/2010/main" Requires="a14">
        <xdr:graphicFrame macro="">
          <xdr:nvGraphicFramePr>
            <xdr:cNvPr id="22" name="Job_Role">
              <a:extLst>
                <a:ext uri="{FF2B5EF4-FFF2-40B4-BE49-F238E27FC236}">
                  <a16:creationId xmlns:a16="http://schemas.microsoft.com/office/drawing/2014/main" id="{0CBB369A-00B6-5936-0EDA-C5A42D586B68}"/>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dr:sp macro="" textlink="">
          <xdr:nvSpPr>
            <xdr:cNvPr id="0" name=""/>
            <xdr:cNvSpPr>
              <a:spLocks noTextEdit="1"/>
            </xdr:cNvSpPr>
          </xdr:nvSpPr>
          <xdr:spPr>
            <a:xfrm>
              <a:off x="14395723" y="7455563"/>
              <a:ext cx="4312267" cy="16676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221226</xdr:colOff>
      <xdr:row>6</xdr:row>
      <xdr:rowOff>49162</xdr:rowOff>
    </xdr:from>
    <xdr:to>
      <xdr:col>4</xdr:col>
      <xdr:colOff>73741</xdr:colOff>
      <xdr:row>10</xdr:row>
      <xdr:rowOff>57727</xdr:rowOff>
    </xdr:to>
    <xdr:sp macro="" textlink="">
      <xdr:nvSpPr>
        <xdr:cNvPr id="24" name="Rectangle: Single Corner Rounded 23">
          <a:extLst>
            <a:ext uri="{FF2B5EF4-FFF2-40B4-BE49-F238E27FC236}">
              <a16:creationId xmlns:a16="http://schemas.microsoft.com/office/drawing/2014/main" id="{B9068750-9B00-E7CD-3704-916A904FD3EA}"/>
            </a:ext>
          </a:extLst>
        </xdr:cNvPr>
        <xdr:cNvSpPr/>
      </xdr:nvSpPr>
      <xdr:spPr>
        <a:xfrm>
          <a:off x="221226" y="1128662"/>
          <a:ext cx="2307848" cy="728232"/>
        </a:xfrm>
        <a:prstGeom prst="round1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Count of</a:t>
          </a:r>
        </a:p>
        <a:p>
          <a:pPr algn="l"/>
          <a:r>
            <a:rPr lang="en-IN" sz="2000"/>
            <a:t>Record_ID</a:t>
          </a:r>
        </a:p>
      </xdr:txBody>
    </xdr:sp>
    <xdr:clientData/>
  </xdr:twoCellAnchor>
  <xdr:twoCellAnchor>
    <xdr:from>
      <xdr:col>4</xdr:col>
      <xdr:colOff>219364</xdr:colOff>
      <xdr:row>5</xdr:row>
      <xdr:rowOff>92363</xdr:rowOff>
    </xdr:from>
    <xdr:to>
      <xdr:col>8</xdr:col>
      <xdr:colOff>588818</xdr:colOff>
      <xdr:row>13</xdr:row>
      <xdr:rowOff>34635</xdr:rowOff>
    </xdr:to>
    <xdr:sp macro="" textlink="">
      <xdr:nvSpPr>
        <xdr:cNvPr id="25" name="Rectangle: Rounded Corners 24">
          <a:extLst>
            <a:ext uri="{FF2B5EF4-FFF2-40B4-BE49-F238E27FC236}">
              <a16:creationId xmlns:a16="http://schemas.microsoft.com/office/drawing/2014/main" id="{F38901AE-8D9E-44B1-8CDF-973995D35725}"/>
            </a:ext>
          </a:extLst>
        </xdr:cNvPr>
        <xdr:cNvSpPr/>
      </xdr:nvSpPr>
      <xdr:spPr>
        <a:xfrm>
          <a:off x="2667000" y="1015999"/>
          <a:ext cx="2817091" cy="1420091"/>
        </a:xfrm>
        <a:prstGeom prst="roundRect">
          <a:avLst/>
        </a:prstGeom>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11545</xdr:colOff>
      <xdr:row>5</xdr:row>
      <xdr:rowOff>115455</xdr:rowOff>
    </xdr:from>
    <xdr:to>
      <xdr:col>13</xdr:col>
      <xdr:colOff>219364</xdr:colOff>
      <xdr:row>13</xdr:row>
      <xdr:rowOff>34635</xdr:rowOff>
    </xdr:to>
    <xdr:sp macro="" textlink="">
      <xdr:nvSpPr>
        <xdr:cNvPr id="28" name="Rectangle: Rounded Corners 27">
          <a:extLst>
            <a:ext uri="{FF2B5EF4-FFF2-40B4-BE49-F238E27FC236}">
              <a16:creationId xmlns:a16="http://schemas.microsoft.com/office/drawing/2014/main" id="{A58EA355-234E-4F2D-803A-1F6A7226B9AD}"/>
            </a:ext>
          </a:extLst>
        </xdr:cNvPr>
        <xdr:cNvSpPr/>
      </xdr:nvSpPr>
      <xdr:spPr>
        <a:xfrm>
          <a:off x="5518727" y="1039091"/>
          <a:ext cx="2655455" cy="1396999"/>
        </a:xfrm>
        <a:prstGeom prst="roundRect">
          <a:avLst/>
        </a:prstGeom>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288638</xdr:colOff>
      <xdr:row>5</xdr:row>
      <xdr:rowOff>127000</xdr:rowOff>
    </xdr:from>
    <xdr:to>
      <xdr:col>17</xdr:col>
      <xdr:colOff>572731</xdr:colOff>
      <xdr:row>13</xdr:row>
      <xdr:rowOff>46181</xdr:rowOff>
    </xdr:to>
    <xdr:sp macro="" textlink="">
      <xdr:nvSpPr>
        <xdr:cNvPr id="29" name="Rectangle: Rounded Corners 28">
          <a:extLst>
            <a:ext uri="{FF2B5EF4-FFF2-40B4-BE49-F238E27FC236}">
              <a16:creationId xmlns:a16="http://schemas.microsoft.com/office/drawing/2014/main" id="{493D23B2-383C-42BB-931F-D27A94627C65}"/>
            </a:ext>
          </a:extLst>
        </xdr:cNvPr>
        <xdr:cNvSpPr/>
      </xdr:nvSpPr>
      <xdr:spPr>
        <a:xfrm>
          <a:off x="8241342" y="1039254"/>
          <a:ext cx="2731079" cy="1378786"/>
        </a:xfrm>
        <a:prstGeom prst="roundRect">
          <a:avLst/>
        </a:prstGeom>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23092</xdr:colOff>
      <xdr:row>5</xdr:row>
      <xdr:rowOff>150090</xdr:rowOff>
    </xdr:from>
    <xdr:to>
      <xdr:col>22</xdr:col>
      <xdr:colOff>257354</xdr:colOff>
      <xdr:row>13</xdr:row>
      <xdr:rowOff>57727</xdr:rowOff>
    </xdr:to>
    <xdr:sp macro="" textlink="">
      <xdr:nvSpPr>
        <xdr:cNvPr id="30" name="Rectangle: Rounded Corners 29">
          <a:extLst>
            <a:ext uri="{FF2B5EF4-FFF2-40B4-BE49-F238E27FC236}">
              <a16:creationId xmlns:a16="http://schemas.microsoft.com/office/drawing/2014/main" id="{8EE5A8ED-8271-4F17-BFA5-F1D049E8A6A9}"/>
            </a:ext>
          </a:extLst>
        </xdr:cNvPr>
        <xdr:cNvSpPr/>
      </xdr:nvSpPr>
      <xdr:spPr>
        <a:xfrm>
          <a:off x="11037456" y="1073726"/>
          <a:ext cx="2681898" cy="1385456"/>
        </a:xfrm>
        <a:prstGeom prst="roundRect">
          <a:avLst/>
        </a:prstGeom>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454741</xdr:colOff>
      <xdr:row>5</xdr:row>
      <xdr:rowOff>147484</xdr:rowOff>
    </xdr:from>
    <xdr:to>
      <xdr:col>30</xdr:col>
      <xdr:colOff>542309</xdr:colOff>
      <xdr:row>13</xdr:row>
      <xdr:rowOff>103909</xdr:rowOff>
    </xdr:to>
    <xdr:sp macro="" textlink="">
      <xdr:nvSpPr>
        <xdr:cNvPr id="31" name="Rectangle: Rounded Corners 30">
          <a:extLst>
            <a:ext uri="{FF2B5EF4-FFF2-40B4-BE49-F238E27FC236}">
              <a16:creationId xmlns:a16="http://schemas.microsoft.com/office/drawing/2014/main" id="{593D0FF9-84E4-43EA-8DAB-F1CC2F211C62}"/>
            </a:ext>
          </a:extLst>
        </xdr:cNvPr>
        <xdr:cNvSpPr/>
      </xdr:nvSpPr>
      <xdr:spPr>
        <a:xfrm>
          <a:off x="16364377" y="1071120"/>
          <a:ext cx="2535205" cy="1434244"/>
        </a:xfrm>
        <a:prstGeom prst="roundRect">
          <a:avLst/>
        </a:prstGeom>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311727</xdr:colOff>
      <xdr:row>6</xdr:row>
      <xdr:rowOff>1</xdr:rowOff>
    </xdr:from>
    <xdr:to>
      <xdr:col>8</xdr:col>
      <xdr:colOff>473363</xdr:colOff>
      <xdr:row>9</xdr:row>
      <xdr:rowOff>115456</xdr:rowOff>
    </xdr:to>
    <xdr:sp macro="" textlink="">
      <xdr:nvSpPr>
        <xdr:cNvPr id="32" name="Rectangle: Single Corner Rounded 31">
          <a:extLst>
            <a:ext uri="{FF2B5EF4-FFF2-40B4-BE49-F238E27FC236}">
              <a16:creationId xmlns:a16="http://schemas.microsoft.com/office/drawing/2014/main" id="{CF1CB47B-EFB2-4581-B3BD-665951B83D34}"/>
            </a:ext>
          </a:extLst>
        </xdr:cNvPr>
        <xdr:cNvSpPr/>
      </xdr:nvSpPr>
      <xdr:spPr>
        <a:xfrm>
          <a:off x="2759363" y="1108365"/>
          <a:ext cx="2609273" cy="669636"/>
        </a:xfrm>
        <a:prstGeom prst="round1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Avg</a:t>
          </a:r>
          <a:r>
            <a:rPr lang="en-IN" sz="1800" baseline="0"/>
            <a:t>.</a:t>
          </a:r>
          <a:r>
            <a:rPr lang="en-IN" sz="1800"/>
            <a:t>Hours_Saved_Per_</a:t>
          </a:r>
        </a:p>
        <a:p>
          <a:pPr algn="l"/>
          <a:r>
            <a:rPr lang="en-IN" sz="1800"/>
            <a:t>Week</a:t>
          </a:r>
        </a:p>
      </xdr:txBody>
    </xdr:sp>
    <xdr:clientData/>
  </xdr:twoCellAnchor>
  <xdr:twoCellAnchor>
    <xdr:from>
      <xdr:col>22</xdr:col>
      <xdr:colOff>375920</xdr:colOff>
      <xdr:row>5</xdr:row>
      <xdr:rowOff>173182</xdr:rowOff>
    </xdr:from>
    <xdr:to>
      <xdr:col>26</xdr:col>
      <xdr:colOff>301076</xdr:colOff>
      <xdr:row>10</xdr:row>
      <xdr:rowOff>8714</xdr:rowOff>
    </xdr:to>
    <xdr:sp macro="" textlink="">
      <xdr:nvSpPr>
        <xdr:cNvPr id="33" name="Rectangle: Single Corner Rounded 32">
          <a:extLst>
            <a:ext uri="{FF2B5EF4-FFF2-40B4-BE49-F238E27FC236}">
              <a16:creationId xmlns:a16="http://schemas.microsoft.com/office/drawing/2014/main" id="{E18FDD4B-7115-4DFB-BD17-C63A917FB55B}"/>
            </a:ext>
          </a:extLst>
        </xdr:cNvPr>
        <xdr:cNvSpPr/>
      </xdr:nvSpPr>
      <xdr:spPr>
        <a:xfrm>
          <a:off x="13787120" y="1087582"/>
          <a:ext cx="2363556" cy="749932"/>
        </a:xfrm>
        <a:prstGeom prst="round1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Total</a:t>
          </a:r>
          <a:endParaRPr lang="en-IN" sz="2000" baseline="0"/>
        </a:p>
        <a:p>
          <a:pPr algn="l"/>
          <a:r>
            <a:rPr lang="en-IN" sz="2000" baseline="0"/>
            <a:t>Training_Hours</a:t>
          </a:r>
          <a:endParaRPr lang="en-IN" sz="2000"/>
        </a:p>
      </xdr:txBody>
    </xdr:sp>
    <xdr:clientData/>
  </xdr:twoCellAnchor>
  <xdr:twoCellAnchor>
    <xdr:from>
      <xdr:col>18</xdr:col>
      <xdr:colOff>150092</xdr:colOff>
      <xdr:row>6</xdr:row>
      <xdr:rowOff>103909</xdr:rowOff>
    </xdr:from>
    <xdr:to>
      <xdr:col>22</xdr:col>
      <xdr:colOff>170800</xdr:colOff>
      <xdr:row>9</xdr:row>
      <xdr:rowOff>136162</xdr:rowOff>
    </xdr:to>
    <xdr:sp macro="" textlink="">
      <xdr:nvSpPr>
        <xdr:cNvPr id="34" name="Rectangle: Single Corner Rounded 33">
          <a:extLst>
            <a:ext uri="{FF2B5EF4-FFF2-40B4-BE49-F238E27FC236}">
              <a16:creationId xmlns:a16="http://schemas.microsoft.com/office/drawing/2014/main" id="{233EEB07-C3B3-4F62-9FCD-601A65F0E06C}"/>
            </a:ext>
          </a:extLst>
        </xdr:cNvPr>
        <xdr:cNvSpPr/>
      </xdr:nvSpPr>
      <xdr:spPr>
        <a:xfrm>
          <a:off x="11164456" y="1212273"/>
          <a:ext cx="2468344" cy="586434"/>
        </a:xfrm>
        <a:prstGeom prst="round1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Avg. Monthly AI_Cost</a:t>
          </a:r>
        </a:p>
      </xdr:txBody>
    </xdr:sp>
    <xdr:clientData/>
  </xdr:twoCellAnchor>
  <xdr:twoCellAnchor>
    <xdr:from>
      <xdr:col>13</xdr:col>
      <xdr:colOff>406400</xdr:colOff>
      <xdr:row>6</xdr:row>
      <xdr:rowOff>63983</xdr:rowOff>
    </xdr:from>
    <xdr:to>
      <xdr:col>17</xdr:col>
      <xdr:colOff>389119</xdr:colOff>
      <xdr:row>10</xdr:row>
      <xdr:rowOff>69272</xdr:rowOff>
    </xdr:to>
    <xdr:sp macro="" textlink="">
      <xdr:nvSpPr>
        <xdr:cNvPr id="35" name="Rectangle: Single Corner Rounded 34">
          <a:extLst>
            <a:ext uri="{FF2B5EF4-FFF2-40B4-BE49-F238E27FC236}">
              <a16:creationId xmlns:a16="http://schemas.microsoft.com/office/drawing/2014/main" id="{E8379050-FC62-41C6-9CA4-7B4D0842AEF3}"/>
            </a:ext>
          </a:extLst>
        </xdr:cNvPr>
        <xdr:cNvSpPr/>
      </xdr:nvSpPr>
      <xdr:spPr>
        <a:xfrm>
          <a:off x="8331200" y="1161263"/>
          <a:ext cx="2421119" cy="736809"/>
        </a:xfrm>
        <a:prstGeom prst="round1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Avg. </a:t>
          </a:r>
        </a:p>
        <a:p>
          <a:pPr algn="l"/>
          <a:r>
            <a:rPr lang="en-IN" sz="2000"/>
            <a:t>Job_Satisfaction</a:t>
          </a:r>
        </a:p>
      </xdr:txBody>
    </xdr:sp>
    <xdr:clientData/>
  </xdr:twoCellAnchor>
  <xdr:twoCellAnchor>
    <xdr:from>
      <xdr:col>9</xdr:col>
      <xdr:colOff>49177</xdr:colOff>
      <xdr:row>5</xdr:row>
      <xdr:rowOff>182523</xdr:rowOff>
    </xdr:from>
    <xdr:to>
      <xdr:col>12</xdr:col>
      <xdr:colOff>513601</xdr:colOff>
      <xdr:row>9</xdr:row>
      <xdr:rowOff>110255</xdr:rowOff>
    </xdr:to>
    <xdr:sp macro="" textlink="">
      <xdr:nvSpPr>
        <xdr:cNvPr id="36" name="Rectangle: Single Corner Rounded 35">
          <a:extLst>
            <a:ext uri="{FF2B5EF4-FFF2-40B4-BE49-F238E27FC236}">
              <a16:creationId xmlns:a16="http://schemas.microsoft.com/office/drawing/2014/main" id="{A4499A09-1750-472F-8000-7B8053CAA7F2}"/>
            </a:ext>
          </a:extLst>
        </xdr:cNvPr>
        <xdr:cNvSpPr/>
      </xdr:nvSpPr>
      <xdr:spPr>
        <a:xfrm>
          <a:off x="5535577" y="1096923"/>
          <a:ext cx="2293224" cy="659252"/>
        </a:xfrm>
        <a:prstGeom prst="round1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Avg.Error_Rate</a:t>
          </a:r>
        </a:p>
      </xdr:txBody>
    </xdr:sp>
    <xdr:clientData/>
  </xdr:twoCellAnchor>
  <xdr:twoCellAnchor>
    <xdr:from>
      <xdr:col>26</xdr:col>
      <xdr:colOff>531091</xdr:colOff>
      <xdr:row>6</xdr:row>
      <xdr:rowOff>80818</xdr:rowOff>
    </xdr:from>
    <xdr:to>
      <xdr:col>30</xdr:col>
      <xdr:colOff>450272</xdr:colOff>
      <xdr:row>10</xdr:row>
      <xdr:rowOff>57727</xdr:rowOff>
    </xdr:to>
    <xdr:sp macro="" textlink="">
      <xdr:nvSpPr>
        <xdr:cNvPr id="37" name="Rectangle: Single Corner Rounded 36">
          <a:extLst>
            <a:ext uri="{FF2B5EF4-FFF2-40B4-BE49-F238E27FC236}">
              <a16:creationId xmlns:a16="http://schemas.microsoft.com/office/drawing/2014/main" id="{474F0545-5ED0-480F-A1BD-953BDFBC9C97}"/>
            </a:ext>
          </a:extLst>
        </xdr:cNvPr>
        <xdr:cNvSpPr/>
      </xdr:nvSpPr>
      <xdr:spPr>
        <a:xfrm>
          <a:off x="16440727" y="1189182"/>
          <a:ext cx="2366818" cy="715818"/>
        </a:xfrm>
        <a:prstGeom prst="round1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Average.Productivity</a:t>
          </a:r>
        </a:p>
        <a:p>
          <a:pPr algn="l"/>
          <a:r>
            <a:rPr lang="en-IN" sz="1800"/>
            <a:t>Change</a:t>
          </a:r>
        </a:p>
      </xdr:txBody>
    </xdr:sp>
    <xdr:clientData/>
  </xdr:twoCellAnchor>
  <xdr:twoCellAnchor>
    <xdr:from>
      <xdr:col>0</xdr:col>
      <xdr:colOff>323273</xdr:colOff>
      <xdr:row>10</xdr:row>
      <xdr:rowOff>127000</xdr:rowOff>
    </xdr:from>
    <xdr:to>
      <xdr:col>3</xdr:col>
      <xdr:colOff>446070</xdr:colOff>
      <xdr:row>12</xdr:row>
      <xdr:rowOff>173182</xdr:rowOff>
    </xdr:to>
    <xdr:sp macro="" textlink="'KPI CARDS AND PIVOT TABLES'!B3">
      <xdr:nvSpPr>
        <xdr:cNvPr id="38" name="Rectangle: Rounded Corners 37">
          <a:extLst>
            <a:ext uri="{FF2B5EF4-FFF2-40B4-BE49-F238E27FC236}">
              <a16:creationId xmlns:a16="http://schemas.microsoft.com/office/drawing/2014/main" id="{204CE20A-7886-2970-CF64-284E6E1F53A8}"/>
            </a:ext>
          </a:extLst>
        </xdr:cNvPr>
        <xdr:cNvSpPr/>
      </xdr:nvSpPr>
      <xdr:spPr>
        <a:xfrm>
          <a:off x="323273" y="1974273"/>
          <a:ext cx="1958524" cy="415636"/>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C7F622D-2B53-4047-9661-F69FD01F9F4F}" type="TxLink">
            <a:rPr lang="en-US" sz="3200" b="0" i="0" u="none" strike="noStrike">
              <a:ln>
                <a:solidFill>
                  <a:schemeClr val="tx1"/>
                </a:solidFill>
              </a:ln>
              <a:solidFill>
                <a:schemeClr val="tx1"/>
              </a:solidFill>
              <a:effectLst/>
              <a:latin typeface="Calibri"/>
              <a:ea typeface="Calibri"/>
              <a:cs typeface="Calibri"/>
            </a:rPr>
            <a:pPr algn="ctr"/>
            <a:t>18</a:t>
          </a:fld>
          <a:endParaRPr lang="en-IN" sz="3200">
            <a:ln>
              <a:solidFill>
                <a:schemeClr val="tx1"/>
              </a:solidFill>
            </a:ln>
            <a:solidFill>
              <a:schemeClr val="tx1"/>
            </a:solidFill>
            <a:effectLst/>
          </a:endParaRPr>
        </a:p>
      </xdr:txBody>
    </xdr:sp>
    <xdr:clientData/>
  </xdr:twoCellAnchor>
  <xdr:twoCellAnchor>
    <xdr:from>
      <xdr:col>4</xdr:col>
      <xdr:colOff>359834</xdr:colOff>
      <xdr:row>10</xdr:row>
      <xdr:rowOff>31749</xdr:rowOff>
    </xdr:from>
    <xdr:to>
      <xdr:col>6</xdr:col>
      <xdr:colOff>539750</xdr:colOff>
      <xdr:row>12</xdr:row>
      <xdr:rowOff>116168</xdr:rowOff>
    </xdr:to>
    <xdr:sp macro="" textlink="'KPI CARDS AND PIVOT TABLES'!B5">
      <xdr:nvSpPr>
        <xdr:cNvPr id="39" name="Rectangle: Rounded Corners 38">
          <a:extLst>
            <a:ext uri="{FF2B5EF4-FFF2-40B4-BE49-F238E27FC236}">
              <a16:creationId xmlns:a16="http://schemas.microsoft.com/office/drawing/2014/main" id="{12D25C33-8F07-4D9C-AFC7-8EDDA8DAD3D7}"/>
            </a:ext>
          </a:extLst>
        </xdr:cNvPr>
        <xdr:cNvSpPr/>
      </xdr:nvSpPr>
      <xdr:spPr>
        <a:xfrm>
          <a:off x="2815167" y="1830916"/>
          <a:ext cx="1407583" cy="444252"/>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516D241-EE7B-4B79-AFDA-8DFBF159E82F}" type="TxLink">
            <a:rPr lang="en-US" sz="2800" b="0" i="0" u="none" strike="noStrike">
              <a:ln>
                <a:solidFill>
                  <a:schemeClr val="tx1"/>
                </a:solidFill>
              </a:ln>
              <a:solidFill>
                <a:schemeClr val="tx1"/>
              </a:solidFill>
              <a:latin typeface="Calibri"/>
              <a:ea typeface="Calibri"/>
              <a:cs typeface="Calibri"/>
            </a:rPr>
            <a:pPr algn="ctr"/>
            <a:t>8.572222222</a:t>
          </a:fld>
          <a:endParaRPr lang="en-IN" sz="2800">
            <a:ln>
              <a:solidFill>
                <a:schemeClr val="tx1"/>
              </a:solidFill>
            </a:ln>
            <a:solidFill>
              <a:schemeClr val="tx1"/>
            </a:solidFill>
          </a:endParaRPr>
        </a:p>
      </xdr:txBody>
    </xdr:sp>
    <xdr:clientData/>
  </xdr:twoCellAnchor>
  <xdr:twoCellAnchor>
    <xdr:from>
      <xdr:col>27</xdr:col>
      <xdr:colOff>159504</xdr:colOff>
      <xdr:row>10</xdr:row>
      <xdr:rowOff>101600</xdr:rowOff>
    </xdr:from>
    <xdr:to>
      <xdr:col>28</xdr:col>
      <xdr:colOff>538480</xdr:colOff>
      <xdr:row>12</xdr:row>
      <xdr:rowOff>171767</xdr:rowOff>
    </xdr:to>
    <xdr:sp macro="" textlink="'KPI CARDS AND PIVOT TABLES'!B15">
      <xdr:nvSpPr>
        <xdr:cNvPr id="40" name="Rectangle: Rounded Corners 39">
          <a:extLst>
            <a:ext uri="{FF2B5EF4-FFF2-40B4-BE49-F238E27FC236}">
              <a16:creationId xmlns:a16="http://schemas.microsoft.com/office/drawing/2014/main" id="{0974D3EE-B865-49B1-BC97-8CB9003104D8}"/>
            </a:ext>
          </a:extLst>
        </xdr:cNvPr>
        <xdr:cNvSpPr/>
      </xdr:nvSpPr>
      <xdr:spPr>
        <a:xfrm>
          <a:off x="16618704" y="1930400"/>
          <a:ext cx="988576" cy="435927"/>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0EEFC4F-AECC-427C-9A6C-CDEA4D3FA124}" type="TxLink">
            <a:rPr lang="en-US" sz="3200" b="0" i="0" u="none" strike="noStrike">
              <a:ln>
                <a:solidFill>
                  <a:schemeClr val="tx1"/>
                </a:solidFill>
              </a:ln>
              <a:solidFill>
                <a:sysClr val="windowText" lastClr="000000"/>
              </a:solidFill>
              <a:latin typeface="Calibri"/>
              <a:ea typeface="Calibri"/>
              <a:cs typeface="Calibri"/>
            </a:rPr>
            <a:pPr algn="ctr"/>
            <a:t>16</a:t>
          </a:fld>
          <a:endParaRPr lang="en-IN" sz="3200">
            <a:ln>
              <a:solidFill>
                <a:schemeClr val="tx1"/>
              </a:solidFill>
            </a:ln>
            <a:solidFill>
              <a:sysClr val="windowText" lastClr="000000"/>
            </a:solidFill>
          </a:endParaRPr>
        </a:p>
      </xdr:txBody>
    </xdr:sp>
    <xdr:clientData/>
  </xdr:twoCellAnchor>
  <xdr:twoCellAnchor>
    <xdr:from>
      <xdr:col>23</xdr:col>
      <xdr:colOff>11723</xdr:colOff>
      <xdr:row>10</xdr:row>
      <xdr:rowOff>20320</xdr:rowOff>
    </xdr:from>
    <xdr:to>
      <xdr:col>25</xdr:col>
      <xdr:colOff>81280</xdr:colOff>
      <xdr:row>12</xdr:row>
      <xdr:rowOff>174450</xdr:rowOff>
    </xdr:to>
    <xdr:sp macro="" textlink="'KPI CARDS AND PIVOT TABLES'!B13">
      <xdr:nvSpPr>
        <xdr:cNvPr id="41" name="Rectangle: Rounded Corners 40">
          <a:extLst>
            <a:ext uri="{FF2B5EF4-FFF2-40B4-BE49-F238E27FC236}">
              <a16:creationId xmlns:a16="http://schemas.microsoft.com/office/drawing/2014/main" id="{F04054FE-7AF7-4820-9882-AB9E57B8EFAC}"/>
            </a:ext>
          </a:extLst>
        </xdr:cNvPr>
        <xdr:cNvSpPr/>
      </xdr:nvSpPr>
      <xdr:spPr>
        <a:xfrm>
          <a:off x="14032523" y="1849120"/>
          <a:ext cx="1288757" cy="519890"/>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D9621F3-AC96-497B-9F89-D23B35892715}" type="TxLink">
            <a:rPr lang="en-US" sz="3200" b="0" i="0" u="none" strike="noStrike">
              <a:ln>
                <a:solidFill>
                  <a:schemeClr val="tx1"/>
                </a:solidFill>
              </a:ln>
              <a:solidFill>
                <a:schemeClr val="tx1"/>
              </a:solidFill>
              <a:latin typeface="Calibri"/>
              <a:ea typeface="Calibri"/>
              <a:cs typeface="Calibri"/>
            </a:rPr>
            <a:pPr algn="ctr"/>
            <a:t>569</a:t>
          </a:fld>
          <a:endParaRPr lang="en-IN" sz="3200">
            <a:ln>
              <a:solidFill>
                <a:schemeClr val="tx1"/>
              </a:solidFill>
            </a:ln>
            <a:solidFill>
              <a:schemeClr val="tx1"/>
            </a:solidFill>
          </a:endParaRPr>
        </a:p>
      </xdr:txBody>
    </xdr:sp>
    <xdr:clientData/>
  </xdr:twoCellAnchor>
  <xdr:twoCellAnchor>
    <xdr:from>
      <xdr:col>18</xdr:col>
      <xdr:colOff>81281</xdr:colOff>
      <xdr:row>9</xdr:row>
      <xdr:rowOff>30480</xdr:rowOff>
    </xdr:from>
    <xdr:to>
      <xdr:col>20</xdr:col>
      <xdr:colOff>406400</xdr:colOff>
      <xdr:row>12</xdr:row>
      <xdr:rowOff>71119</xdr:rowOff>
    </xdr:to>
    <xdr:sp macro="" textlink="'KPI CARDS AND PIVOT TABLES'!B11">
      <xdr:nvSpPr>
        <xdr:cNvPr id="42" name="Rectangle: Rounded Corners 41">
          <a:extLst>
            <a:ext uri="{FF2B5EF4-FFF2-40B4-BE49-F238E27FC236}">
              <a16:creationId xmlns:a16="http://schemas.microsoft.com/office/drawing/2014/main" id="{1E54BD24-855A-406F-BEEE-D4C927C142CC}"/>
            </a:ext>
          </a:extLst>
        </xdr:cNvPr>
        <xdr:cNvSpPr/>
      </xdr:nvSpPr>
      <xdr:spPr>
        <a:xfrm>
          <a:off x="11054081" y="1676400"/>
          <a:ext cx="1544319" cy="589279"/>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824A8D9-9012-4E29-8402-021689008381}" type="TxLink">
            <a:rPr lang="en-US" sz="3200" b="0" i="0" u="none" strike="noStrike">
              <a:ln>
                <a:solidFill>
                  <a:schemeClr val="tx1"/>
                </a:solidFill>
              </a:ln>
              <a:solidFill>
                <a:sysClr val="windowText" lastClr="000000"/>
              </a:solidFill>
              <a:latin typeface="Calibri"/>
              <a:ea typeface="Calibri"/>
              <a:cs typeface="Calibri"/>
            </a:rPr>
            <a:pPr algn="ctr"/>
            <a:t>₹ 84.8</a:t>
          </a:fld>
          <a:endParaRPr lang="en-IN" sz="3200">
            <a:ln>
              <a:solidFill>
                <a:schemeClr val="tx1"/>
              </a:solidFill>
            </a:ln>
            <a:solidFill>
              <a:sysClr val="windowText" lastClr="000000"/>
            </a:solidFill>
          </a:endParaRPr>
        </a:p>
      </xdr:txBody>
    </xdr:sp>
    <xdr:clientData/>
  </xdr:twoCellAnchor>
  <xdr:twoCellAnchor>
    <xdr:from>
      <xdr:col>14</xdr:col>
      <xdr:colOff>83008</xdr:colOff>
      <xdr:row>10</xdr:row>
      <xdr:rowOff>115753</xdr:rowOff>
    </xdr:from>
    <xdr:to>
      <xdr:col>17</xdr:col>
      <xdr:colOff>144459</xdr:colOff>
      <xdr:row>13</xdr:row>
      <xdr:rowOff>29347</xdr:rowOff>
    </xdr:to>
    <xdr:sp macro="" textlink="'KPI CARDS AND PIVOT TABLES'!B9">
      <xdr:nvSpPr>
        <xdr:cNvPr id="43" name="Rectangle: Rounded Corners 42">
          <a:extLst>
            <a:ext uri="{FF2B5EF4-FFF2-40B4-BE49-F238E27FC236}">
              <a16:creationId xmlns:a16="http://schemas.microsoft.com/office/drawing/2014/main" id="{15429B13-F8F0-4BB1-A0DF-0FC6A0463159}"/>
            </a:ext>
          </a:extLst>
        </xdr:cNvPr>
        <xdr:cNvSpPr/>
      </xdr:nvSpPr>
      <xdr:spPr>
        <a:xfrm>
          <a:off x="8647459" y="1940260"/>
          <a:ext cx="1896690" cy="460946"/>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346D26A-4F17-48F8-92BD-189AFBD4ED42}" type="TxLink">
            <a:rPr lang="en-US" sz="3200" b="0" i="0" u="none" strike="noStrike">
              <a:ln>
                <a:solidFill>
                  <a:sysClr val="windowText" lastClr="000000"/>
                </a:solidFill>
              </a:ln>
              <a:solidFill>
                <a:sysClr val="windowText" lastClr="000000"/>
              </a:solidFill>
              <a:latin typeface="Calibri"/>
              <a:ea typeface="Calibri"/>
              <a:cs typeface="Calibri"/>
            </a:rPr>
            <a:pPr algn="ctr"/>
            <a:t>6</a:t>
          </a:fld>
          <a:endParaRPr lang="en-IN" sz="3200">
            <a:ln>
              <a:solidFill>
                <a:sysClr val="windowText" lastClr="000000"/>
              </a:solidFill>
            </a:ln>
            <a:solidFill>
              <a:sysClr val="windowText" lastClr="000000"/>
            </a:solidFill>
          </a:endParaRPr>
        </a:p>
      </xdr:txBody>
    </xdr:sp>
    <xdr:clientData/>
  </xdr:twoCellAnchor>
  <xdr:twoCellAnchor>
    <xdr:from>
      <xdr:col>9</xdr:col>
      <xdr:colOff>242454</xdr:colOff>
      <xdr:row>10</xdr:row>
      <xdr:rowOff>30480</xdr:rowOff>
    </xdr:from>
    <xdr:to>
      <xdr:col>11</xdr:col>
      <xdr:colOff>365760</xdr:colOff>
      <xdr:row>12</xdr:row>
      <xdr:rowOff>159030</xdr:rowOff>
    </xdr:to>
    <xdr:sp macro="" textlink="'KPI CARDS AND PIVOT TABLES'!B7">
      <xdr:nvSpPr>
        <xdr:cNvPr id="44" name="Rectangle: Rounded Corners 43">
          <a:extLst>
            <a:ext uri="{FF2B5EF4-FFF2-40B4-BE49-F238E27FC236}">
              <a16:creationId xmlns:a16="http://schemas.microsoft.com/office/drawing/2014/main" id="{4F53577F-70E8-492F-806B-A2F2893C1737}"/>
            </a:ext>
          </a:extLst>
        </xdr:cNvPr>
        <xdr:cNvSpPr/>
      </xdr:nvSpPr>
      <xdr:spPr>
        <a:xfrm>
          <a:off x="5728854" y="1859280"/>
          <a:ext cx="1342506" cy="494310"/>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09940A7-99F9-4C00-BD16-7A210D5CB008}" type="TxLink">
            <a:rPr lang="en-US" sz="3200" b="0" i="0" u="none" strike="noStrike">
              <a:ln>
                <a:solidFill>
                  <a:schemeClr val="tx1"/>
                </a:solidFill>
              </a:ln>
              <a:solidFill>
                <a:schemeClr val="tx1"/>
              </a:solidFill>
              <a:latin typeface="Calibri"/>
              <a:ea typeface="Calibri"/>
              <a:cs typeface="Calibri"/>
            </a:rPr>
            <a:pPr algn="ctr"/>
            <a:t>7.9</a:t>
          </a:fld>
          <a:endParaRPr lang="en-IN" sz="3200">
            <a:ln>
              <a:solidFill>
                <a:schemeClr val="tx1"/>
              </a:solidFill>
            </a:ln>
            <a:solidFill>
              <a:schemeClr val="tx1"/>
            </a:solidFill>
          </a:endParaRPr>
        </a:p>
      </xdr:txBody>
    </xdr:sp>
    <xdr:clientData/>
  </xdr:twoCellAnchor>
  <xdr:twoCellAnchor editAs="oneCell">
    <xdr:from>
      <xdr:col>0</xdr:col>
      <xdr:colOff>428625</xdr:colOff>
      <xdr:row>0</xdr:row>
      <xdr:rowOff>1</xdr:rowOff>
    </xdr:from>
    <xdr:to>
      <xdr:col>2</xdr:col>
      <xdr:colOff>111125</xdr:colOff>
      <xdr:row>4</xdr:row>
      <xdr:rowOff>105834</xdr:rowOff>
    </xdr:to>
    <xdr:pic>
      <xdr:nvPicPr>
        <xdr:cNvPr id="53" name="Picture 52">
          <a:extLst>
            <a:ext uri="{FF2B5EF4-FFF2-40B4-BE49-F238E27FC236}">
              <a16:creationId xmlns:a16="http://schemas.microsoft.com/office/drawing/2014/main" id="{C770997B-23BC-EEF1-F2FB-460158F60BD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428625" y="1"/>
          <a:ext cx="910167" cy="825500"/>
        </a:xfrm>
        <a:prstGeom prst="rect">
          <a:avLst/>
        </a:prstGeom>
      </xdr:spPr>
    </xdr:pic>
    <xdr:clientData/>
  </xdr:twoCellAnchor>
  <xdr:twoCellAnchor editAs="oneCell">
    <xdr:from>
      <xdr:col>28</xdr:col>
      <xdr:colOff>391583</xdr:colOff>
      <xdr:row>0</xdr:row>
      <xdr:rowOff>95249</xdr:rowOff>
    </xdr:from>
    <xdr:to>
      <xdr:col>30</xdr:col>
      <xdr:colOff>359832</xdr:colOff>
      <xdr:row>4</xdr:row>
      <xdr:rowOff>148167</xdr:rowOff>
    </xdr:to>
    <xdr:pic>
      <xdr:nvPicPr>
        <xdr:cNvPr id="55" name="Picture 54">
          <a:extLst>
            <a:ext uri="{FF2B5EF4-FFF2-40B4-BE49-F238E27FC236}">
              <a16:creationId xmlns:a16="http://schemas.microsoft.com/office/drawing/2014/main" id="{307D47FB-56C4-697C-84E9-198AB0925E9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7578916" y="95249"/>
          <a:ext cx="1195916" cy="772585"/>
        </a:xfrm>
        <a:prstGeom prst="rect">
          <a:avLst/>
        </a:prstGeom>
      </xdr:spPr>
    </xdr:pic>
    <xdr:clientData/>
  </xdr:twoCellAnchor>
  <xdr:twoCellAnchor editAs="oneCell">
    <xdr:from>
      <xdr:col>2</xdr:col>
      <xdr:colOff>367200</xdr:colOff>
      <xdr:row>6</xdr:row>
      <xdr:rowOff>101600</xdr:rowOff>
    </xdr:from>
    <xdr:to>
      <xdr:col>3</xdr:col>
      <xdr:colOff>497416</xdr:colOff>
      <xdr:row>9</xdr:row>
      <xdr:rowOff>132080</xdr:rowOff>
    </xdr:to>
    <xdr:pic>
      <xdr:nvPicPr>
        <xdr:cNvPr id="57" name="Picture 56">
          <a:extLst>
            <a:ext uri="{FF2B5EF4-FFF2-40B4-BE49-F238E27FC236}">
              <a16:creationId xmlns:a16="http://schemas.microsoft.com/office/drawing/2014/main" id="{E638DEFC-57C0-8EF0-6525-5685B09C9FF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586400" y="1198880"/>
          <a:ext cx="739816" cy="579120"/>
        </a:xfrm>
        <a:prstGeom prst="rect">
          <a:avLst/>
        </a:prstGeom>
        <a:ln>
          <a:noFill/>
        </a:ln>
        <a:effectLst>
          <a:outerShdw blurRad="50800" dist="38100" dir="2700000" algn="tl" rotWithShape="0">
            <a:prstClr val="black">
              <a:alpha val="40000"/>
            </a:prstClr>
          </a:outerShdw>
        </a:effectLst>
      </xdr:spPr>
    </xdr:pic>
    <xdr:clientData/>
  </xdr:twoCellAnchor>
  <xdr:twoCellAnchor editAs="oneCell">
    <xdr:from>
      <xdr:col>7</xdr:col>
      <xdr:colOff>325120</xdr:colOff>
      <xdr:row>8</xdr:row>
      <xdr:rowOff>142240</xdr:rowOff>
    </xdr:from>
    <xdr:to>
      <xdr:col>8</xdr:col>
      <xdr:colOff>326777</xdr:colOff>
      <xdr:row>11</xdr:row>
      <xdr:rowOff>128925</xdr:rowOff>
    </xdr:to>
    <xdr:pic>
      <xdr:nvPicPr>
        <xdr:cNvPr id="59" name="Picture 58">
          <a:extLst>
            <a:ext uri="{FF2B5EF4-FFF2-40B4-BE49-F238E27FC236}">
              <a16:creationId xmlns:a16="http://schemas.microsoft.com/office/drawing/2014/main" id="{F8B9EDA1-1B1C-FBD4-15C1-A87157E1275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592320" y="1605280"/>
          <a:ext cx="611257" cy="535325"/>
        </a:xfrm>
        <a:prstGeom prst="rect">
          <a:avLst/>
        </a:prstGeom>
        <a:ln>
          <a:noFill/>
        </a:ln>
        <a:effectLst>
          <a:outerShdw blurRad="50800" dist="38100" dir="2700000" algn="tl" rotWithShape="0">
            <a:prstClr val="black">
              <a:alpha val="40000"/>
            </a:prstClr>
          </a:outerShdw>
        </a:effectLst>
      </xdr:spPr>
    </xdr:pic>
    <xdr:clientData/>
  </xdr:twoCellAnchor>
  <xdr:twoCellAnchor editAs="oneCell">
    <xdr:from>
      <xdr:col>12</xdr:col>
      <xdr:colOff>30480</xdr:colOff>
      <xdr:row>8</xdr:row>
      <xdr:rowOff>71120</xdr:rowOff>
    </xdr:from>
    <xdr:to>
      <xdr:col>13</xdr:col>
      <xdr:colOff>30484</xdr:colOff>
      <xdr:row>11</xdr:row>
      <xdr:rowOff>132084</xdr:rowOff>
    </xdr:to>
    <xdr:pic>
      <xdr:nvPicPr>
        <xdr:cNvPr id="61" name="Picture 60">
          <a:extLst>
            <a:ext uri="{FF2B5EF4-FFF2-40B4-BE49-F238E27FC236}">
              <a16:creationId xmlns:a16="http://schemas.microsoft.com/office/drawing/2014/main" id="{51A464EB-7245-E621-3811-30C3A571570A}"/>
            </a:ext>
          </a:extLst>
        </xdr:cNvPr>
        <xdr:cNvPicPr>
          <a:picLocks noChangeAspect="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saturation sat="200000"/>
                  </a14:imgEffect>
                </a14:imgLayer>
              </a14:imgProps>
            </a:ext>
            <a:ext uri="{28A0092B-C50C-407E-A947-70E740481C1C}">
              <a14:useLocalDpi xmlns:a14="http://schemas.microsoft.com/office/drawing/2010/main" val="0"/>
            </a:ext>
          </a:extLst>
        </a:blip>
        <a:stretch>
          <a:fillRect/>
        </a:stretch>
      </xdr:blipFill>
      <xdr:spPr>
        <a:xfrm>
          <a:off x="7345680" y="1534160"/>
          <a:ext cx="609604" cy="609604"/>
        </a:xfrm>
        <a:prstGeom prst="rect">
          <a:avLst/>
        </a:prstGeom>
        <a:ln>
          <a:noFill/>
        </a:ln>
        <a:effectLst>
          <a:outerShdw blurRad="50800" dist="38100" dir="2700000" algn="tl" rotWithShape="0">
            <a:prstClr val="black">
              <a:alpha val="40000"/>
            </a:prstClr>
          </a:outerShdw>
        </a:effectLst>
      </xdr:spPr>
    </xdr:pic>
    <xdr:clientData/>
  </xdr:twoCellAnchor>
  <xdr:twoCellAnchor editAs="oneCell">
    <xdr:from>
      <xdr:col>16</xdr:col>
      <xdr:colOff>402505</xdr:colOff>
      <xdr:row>6</xdr:row>
      <xdr:rowOff>81280</xdr:rowOff>
    </xdr:from>
    <xdr:to>
      <xdr:col>17</xdr:col>
      <xdr:colOff>467360</xdr:colOff>
      <xdr:row>9</xdr:row>
      <xdr:rowOff>162560</xdr:rowOff>
    </xdr:to>
    <xdr:pic>
      <xdr:nvPicPr>
        <xdr:cNvPr id="63" name="Picture 62">
          <a:extLst>
            <a:ext uri="{FF2B5EF4-FFF2-40B4-BE49-F238E27FC236}">
              <a16:creationId xmlns:a16="http://schemas.microsoft.com/office/drawing/2014/main" id="{B44E6B66-427B-DCFF-D17D-6DB50BE1CDA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0156105" y="1178560"/>
          <a:ext cx="674455" cy="629920"/>
        </a:xfrm>
        <a:prstGeom prst="rect">
          <a:avLst/>
        </a:prstGeom>
        <a:ln>
          <a:noFill/>
        </a:ln>
        <a:effectLst>
          <a:outerShdw blurRad="50800" dist="38100" dir="2700000" algn="tl" rotWithShape="0">
            <a:prstClr val="black">
              <a:alpha val="40000"/>
            </a:prstClr>
          </a:outerShdw>
        </a:effectLst>
      </xdr:spPr>
    </xdr:pic>
    <xdr:clientData/>
  </xdr:twoCellAnchor>
  <xdr:twoCellAnchor editAs="oneCell">
    <xdr:from>
      <xdr:col>20</xdr:col>
      <xdr:colOff>507999</xdr:colOff>
      <xdr:row>8</xdr:row>
      <xdr:rowOff>121919</xdr:rowOff>
    </xdr:from>
    <xdr:to>
      <xdr:col>22</xdr:col>
      <xdr:colOff>40640</xdr:colOff>
      <xdr:row>12</xdr:row>
      <xdr:rowOff>142240</xdr:rowOff>
    </xdr:to>
    <xdr:pic>
      <xdr:nvPicPr>
        <xdr:cNvPr id="4098" name="Picture 4097">
          <a:extLst>
            <a:ext uri="{FF2B5EF4-FFF2-40B4-BE49-F238E27FC236}">
              <a16:creationId xmlns:a16="http://schemas.microsoft.com/office/drawing/2014/main" id="{BAEA8DAF-EBD1-63C3-12A6-448BE58D69A8}"/>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699999" y="1584959"/>
          <a:ext cx="751841" cy="751841"/>
        </a:xfrm>
        <a:prstGeom prst="rect">
          <a:avLst/>
        </a:prstGeom>
        <a:ln>
          <a:noFill/>
        </a:ln>
        <a:effectLst>
          <a:outerShdw blurRad="50800" dist="38100" dir="2700000" algn="tl" rotWithShape="0">
            <a:prstClr val="black">
              <a:alpha val="40000"/>
            </a:prstClr>
          </a:outerShdw>
        </a:effectLst>
      </xdr:spPr>
    </xdr:pic>
    <xdr:clientData/>
  </xdr:twoCellAnchor>
  <xdr:twoCellAnchor editAs="oneCell">
    <xdr:from>
      <xdr:col>25</xdr:col>
      <xdr:colOff>264160</xdr:colOff>
      <xdr:row>8</xdr:row>
      <xdr:rowOff>20320</xdr:rowOff>
    </xdr:from>
    <xdr:to>
      <xdr:col>26</xdr:col>
      <xdr:colOff>355600</xdr:colOff>
      <xdr:row>11</xdr:row>
      <xdr:rowOff>172720</xdr:rowOff>
    </xdr:to>
    <xdr:pic>
      <xdr:nvPicPr>
        <xdr:cNvPr id="4100" name="Picture 4099">
          <a:extLst>
            <a:ext uri="{FF2B5EF4-FFF2-40B4-BE49-F238E27FC236}">
              <a16:creationId xmlns:a16="http://schemas.microsoft.com/office/drawing/2014/main" id="{F3CE0469-054B-F27A-D737-8D56E9D58EE9}"/>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5504160" y="1483360"/>
          <a:ext cx="701040" cy="701040"/>
        </a:xfrm>
        <a:prstGeom prst="rect">
          <a:avLst/>
        </a:prstGeom>
        <a:ln>
          <a:noFill/>
        </a:ln>
        <a:effectLst>
          <a:outerShdw blurRad="50800" dist="38100" dir="2700000" algn="tl" rotWithShape="0">
            <a:prstClr val="black">
              <a:alpha val="40000"/>
            </a:prstClr>
          </a:outerShdw>
        </a:effectLst>
      </xdr:spPr>
    </xdr:pic>
    <xdr:clientData/>
  </xdr:twoCellAnchor>
  <xdr:twoCellAnchor editAs="oneCell">
    <xdr:from>
      <xdr:col>29</xdr:col>
      <xdr:colOff>214039</xdr:colOff>
      <xdr:row>8</xdr:row>
      <xdr:rowOff>30479</xdr:rowOff>
    </xdr:from>
    <xdr:to>
      <xdr:col>30</xdr:col>
      <xdr:colOff>325800</xdr:colOff>
      <xdr:row>12</xdr:row>
      <xdr:rowOff>20320</xdr:rowOff>
    </xdr:to>
    <xdr:pic>
      <xdr:nvPicPr>
        <xdr:cNvPr id="4102" name="Picture 4101">
          <a:extLst>
            <a:ext uri="{FF2B5EF4-FFF2-40B4-BE49-F238E27FC236}">
              <a16:creationId xmlns:a16="http://schemas.microsoft.com/office/drawing/2014/main" id="{03ABE5C9-88BC-E636-7425-48438147AC5A}"/>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7892439" y="1493519"/>
          <a:ext cx="721361" cy="72136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 refreshedDate="46324.506327546296" createdVersion="8" refreshedVersion="8" minRefreshableVersion="3" recordCount="523" xr:uid="{75704859-EBD6-46C7-A215-2EED91172D89}">
  <cacheSource type="worksheet">
    <worksheetSource name="AIData"/>
  </cacheSource>
  <cacheFields count="22">
    <cacheField name="Record_ID" numFmtId="0">
      <sharedItems count="523">
        <s v="AIW-0001"/>
        <s v="AIW-0002"/>
        <s v="AIW-0003"/>
        <s v="AIW-0004"/>
        <s v="AIW-0005"/>
        <s v="AIW-0006"/>
        <s v="AIW-0007"/>
        <s v="AIW-0008"/>
        <s v="AIW-0009"/>
        <s v="AIW-0010"/>
        <s v="AIW-0011"/>
        <s v="AIW-0012"/>
        <s v="AIW-0013"/>
        <s v="AIW-0014"/>
        <s v="AIW-0015"/>
        <s v="AIW-0016"/>
        <s v="AIW-0017"/>
        <s v="AIW-0018"/>
        <s v="AIW-0019"/>
        <s v="AIW-0020"/>
        <s v="AIW-0021"/>
        <s v="AIW-0022"/>
        <s v="AIW-0023"/>
        <s v="AIW-0024"/>
        <s v="AIW-0025"/>
        <s v="AIW-0026"/>
        <s v="AIW-0027"/>
        <s v="AIW-0028"/>
        <s v="AIW-0029"/>
        <s v="AIW-0030"/>
        <s v="AIW-0031"/>
        <s v="AIW-0032"/>
        <s v="AIW-0033"/>
        <s v="AIW-0034"/>
        <s v="AIW-0035"/>
        <s v="AIW-0036"/>
        <s v="AIW-0037"/>
        <s v="AIW-0038"/>
        <s v="AIW-0039"/>
        <s v="AIW-0040"/>
        <s v="AIW-0041"/>
        <s v="AIW-0042"/>
        <s v="AIW-0043"/>
        <s v="AIW-0044"/>
        <s v="AIW-0045"/>
        <s v="AIW-0046"/>
        <s v="AIW-0047"/>
        <s v="AIW-0048"/>
        <s v="AIW-0049"/>
        <s v="AIW-0050"/>
        <s v="AIW-0051"/>
        <s v="AIW-0052"/>
        <s v="AIW-0053"/>
        <s v="AIW-0054"/>
        <s v="AIW-0055"/>
        <s v="AIW-0056"/>
        <s v="AIW-0057"/>
        <s v="AIW-0058"/>
        <s v="AIW-0059"/>
        <s v="AIW-0060"/>
        <s v="AIW-0061"/>
        <s v="AIW-0062"/>
        <s v="AIW-0063"/>
        <s v="AIW-0064"/>
        <s v="AIW-0065"/>
        <s v="AIW-0066"/>
        <s v="AIW-0067"/>
        <s v="AIW-0068"/>
        <s v="AIW-0069"/>
        <s v="AIW-0070"/>
        <s v="AIW-0071"/>
        <s v="AIW-0072"/>
        <s v="AIW-0073"/>
        <s v="AIW-0074"/>
        <s v="AIW-0075"/>
        <s v="AIW-0076"/>
        <s v="AIW-0077"/>
        <s v="AIW-0078"/>
        <s v="AIW-0079"/>
        <s v="AIW-0080"/>
        <s v="AIW-0081"/>
        <s v="AIW-0082"/>
        <s v="AIW-0083"/>
        <s v="AIW-0084"/>
        <s v="AIW-0085"/>
        <s v="AIW-0086"/>
        <s v="AIW-0087"/>
        <s v="AIW-0088"/>
        <s v="AIW-0089"/>
        <s v="AIW-0090"/>
        <s v="AIW-0091"/>
        <s v="AIW-0092"/>
        <s v="AIW-0093"/>
        <s v="AIW-0094"/>
        <s v="AIW-0095"/>
        <s v="AIW-0096"/>
        <s v="AIW-0097"/>
        <s v="AIW-0098"/>
        <s v="AIW-0099"/>
        <s v="AIW-0100"/>
        <s v="AIW-0101"/>
        <s v="AIW-0102"/>
        <s v="AIW-0103"/>
        <s v="AIW-0104"/>
        <s v="AIW-0105"/>
        <s v="AIW-0106"/>
        <s v="AIW-0107"/>
        <s v="AIW-0108"/>
        <s v="AIW-0109"/>
        <s v="AIW-0110"/>
        <s v="AIW-0111"/>
        <s v="AIW-0112"/>
        <s v="AIW-0113"/>
        <s v="AIW-0114"/>
        <s v="AIW-0115"/>
        <s v="AIW-0116"/>
        <s v="AIW-0117"/>
        <s v="AIW-0118"/>
        <s v="AIW-0119"/>
        <s v="AIW-0120"/>
        <s v="AIW-0121"/>
        <s v="AIW-0122"/>
        <s v="AIW-0123"/>
        <s v="AIW-0124"/>
        <s v="AIW-0125"/>
        <s v="AIW-0126"/>
        <s v="AIW-0127"/>
        <s v="AIW-0128"/>
        <s v="AIW-0129"/>
        <s v="AIW-0130"/>
        <s v="AIW-0131"/>
        <s v="AIW-0132"/>
        <s v="AIW-0133"/>
        <s v="AIW-0134"/>
        <s v="AIW-0135"/>
        <s v="AIW-0136"/>
        <s v="AIW-0137"/>
        <s v="AIW-0138"/>
        <s v="AIW-0139"/>
        <s v="AIW-0140"/>
        <s v="AIW-0141"/>
        <s v="AIW-0142"/>
        <s v="AIW-0143"/>
        <s v="AIW-0144"/>
        <s v="AIW-0145"/>
        <s v="AIW-0146"/>
        <s v="AIW-0147"/>
        <s v="AIW-0148"/>
        <s v="AIW-0149"/>
        <s v="AIW-0150"/>
        <s v="AIW-0151"/>
        <s v="AIW-0152"/>
        <s v="AIW-0153"/>
        <s v="AIW-0154"/>
        <s v="AIW-0155"/>
        <s v="AIW-0156"/>
        <s v="AIW-0157"/>
        <s v="AIW-0158"/>
        <s v="AIW-0159"/>
        <s v="AIW-0160"/>
        <s v="AIW-0161"/>
        <s v="AIW-0162"/>
        <s v="AIW-0163"/>
        <s v="AIW-0164"/>
        <s v="AIW-0165"/>
        <s v="AIW-0166"/>
        <s v="AIW-0167"/>
        <s v="AIW-0168"/>
        <s v="AIW-0169"/>
        <s v="AIW-0170"/>
        <s v="AIW-0171"/>
        <s v="AIW-0172"/>
        <s v="AIW-0173"/>
        <s v="AIW-0174"/>
        <s v="AIW-0175"/>
        <s v="AIW-0176"/>
        <s v="AIW-0177"/>
        <s v="AIW-0178"/>
        <s v="AIW-0179"/>
        <s v="AIW-0180"/>
        <s v="AIW-0181"/>
        <s v="AIW-0182"/>
        <s v="AIW-0183"/>
        <s v="AIW-0184"/>
        <s v="AIW-0185"/>
        <s v="AIW-0186"/>
        <s v="AIW-0187"/>
        <s v="AIW-0188"/>
        <s v="AIW-0189"/>
        <s v="AIW-0190"/>
        <s v="AIW-0191"/>
        <s v="AIW-0192"/>
        <s v="AIW-0193"/>
        <s v="AIW-0194"/>
        <s v="AIW-0195"/>
        <s v="AIW-0196"/>
        <s v="AIW-0197"/>
        <s v="AIW-0198"/>
        <s v="AIW-0199"/>
        <s v="AIW-0200"/>
        <s v="AIW-0201"/>
        <s v="AIW-0202"/>
        <s v="AIW-0203"/>
        <s v="AIW-0204"/>
        <s v="AIW-0205"/>
        <s v="AIW-0206"/>
        <s v="AIW-0207"/>
        <s v="AIW-0208"/>
        <s v="AIW-0209"/>
        <s v="AIW-0210"/>
        <s v="AIW-0211"/>
        <s v="AIW-0212"/>
        <s v="AIW-0213"/>
        <s v="AIW-0214"/>
        <s v="AIW-0215"/>
        <s v="AIW-0216"/>
        <s v="AIW-0217"/>
        <s v="AIW-0218"/>
        <s v="AIW-0219"/>
        <s v="AIW-0220"/>
        <s v="AIW-0221"/>
        <s v="AIW-0222"/>
        <s v="AIW-0223"/>
        <s v="AIW-0224"/>
        <s v="AIW-0225"/>
        <s v="AIW-0226"/>
        <s v="AIW-0227"/>
        <s v="AIW-0228"/>
        <s v="AIW-0229"/>
        <s v="AIW-0230"/>
        <s v="AIW-0231"/>
        <s v="AIW-0232"/>
        <s v="AIW-0233"/>
        <s v="AIW-0234"/>
        <s v="AIW-0235"/>
        <s v="AIW-0236"/>
        <s v="AIW-0237"/>
        <s v="AIW-0238"/>
        <s v="AIW-0239"/>
        <s v="AIW-0240"/>
        <s v="AIW-0241"/>
        <s v="AIW-0242"/>
        <s v="AIW-0243"/>
        <s v="AIW-0244"/>
        <s v="AIW-0245"/>
        <s v="AIW-0246"/>
        <s v="AIW-0247"/>
        <s v="AIW-0248"/>
        <s v="AIW-0249"/>
        <s v="AIW-0250"/>
        <s v="AIW-0251"/>
        <s v="AIW-0252"/>
        <s v="AIW-0253"/>
        <s v="AIW-0254"/>
        <s v="AIW-0255"/>
        <s v="AIW-0256"/>
        <s v="AIW-0257"/>
        <s v="AIW-0258"/>
        <s v="AIW-0259"/>
        <s v="AIW-0260"/>
        <s v="AIW-0261"/>
        <s v="AIW-0262"/>
        <s v="AIW-0263"/>
        <s v="AIW-0264"/>
        <s v="AIW-0265"/>
        <s v="AIW-0266"/>
        <s v="AIW-0267"/>
        <s v="AIW-0268"/>
        <s v="AIW-0269"/>
        <s v="AIW-0270"/>
        <s v="AIW-0271"/>
        <s v="AIW-0272"/>
        <s v="AIW-0273"/>
        <s v="AIW-0274"/>
        <s v="AIW-0275"/>
        <s v="AIW-0276"/>
        <s v="AIW-0277"/>
        <s v="AIW-0278"/>
        <s v="AIW-0279"/>
        <s v="AIW-0280"/>
        <s v="AIW-0281"/>
        <s v="AIW-0282"/>
        <s v="AIW-0283"/>
        <s v="AIW-0284"/>
        <s v="AIW-0285"/>
        <s v="AIW-0286"/>
        <s v="AIW-0287"/>
        <s v="AIW-0288"/>
        <s v="AIW-0289"/>
        <s v="AIW-0290"/>
        <s v="AIW-0291"/>
        <s v="AIW-0292"/>
        <s v="AIW-0293"/>
        <s v="AIW-0294"/>
        <s v="AIW-0295"/>
        <s v="AIW-0296"/>
        <s v="AIW-0297"/>
        <s v="AIW-0298"/>
        <s v="AIW-0299"/>
        <s v="AIW-0300"/>
        <s v="AIW-0301"/>
        <s v="AIW-0302"/>
        <s v="AIW-0303"/>
        <s v="AIW-0304"/>
        <s v="AIW-0305"/>
        <s v="AIW-0306"/>
        <s v="AIW-0307"/>
        <s v="AIW-0308"/>
        <s v="AIW-0309"/>
        <s v="AIW-0310"/>
        <s v="AIW-0311"/>
        <s v="AIW-0312"/>
        <s v="AIW-0313"/>
        <s v="AIW-0314"/>
        <s v="AIW-0315"/>
        <s v="AIW-0316"/>
        <s v="AIW-0317"/>
        <s v="AIW-0318"/>
        <s v="AIW-0319"/>
        <s v="AIW-0320"/>
        <s v="AIW-0321"/>
        <s v="AIW-0322"/>
        <s v="AIW-0323"/>
        <s v="AIW-0324"/>
        <s v="AIW-0325"/>
        <s v="AIW-0326"/>
        <s v="AIW-0327"/>
        <s v="AIW-0328"/>
        <s v="AIW-0329"/>
        <s v="AIW-0330"/>
        <s v="AIW-0331"/>
        <s v="AIW-0332"/>
        <s v="AIW-0333"/>
        <s v="AIW-0334"/>
        <s v="AIW-0335"/>
        <s v="AIW-0336"/>
        <s v="AIW-0337"/>
        <s v="AIW-0338"/>
        <s v="AIW-0339"/>
        <s v="AIW-0340"/>
        <s v="AIW-0341"/>
        <s v="AIW-0342"/>
        <s v="AIW-0343"/>
        <s v="AIW-0344"/>
        <s v="AIW-0345"/>
        <s v="AIW-0346"/>
        <s v="AIW-0347"/>
        <s v="AIW-0348"/>
        <s v="AIW-0349"/>
        <s v="AIW-0350"/>
        <s v="AIW-0351"/>
        <s v="AIW-0352"/>
        <s v="AIW-0353"/>
        <s v="AIW-0354"/>
        <s v="AIW-0355"/>
        <s v="AIW-0356"/>
        <s v="AIW-0357"/>
        <s v="AIW-0358"/>
        <s v="AIW-0359"/>
        <s v="AIW-0360"/>
        <s v="AIW-0361"/>
        <s v="AIW-0362"/>
        <s v="AIW-0363"/>
        <s v="AIW-0364"/>
        <s v="AIW-0365"/>
        <s v="AIW-0366"/>
        <s v="AIW-0367"/>
        <s v="AIW-0368"/>
        <s v="AIW-0369"/>
        <s v="AIW-0370"/>
        <s v="AIW-0371"/>
        <s v="AIW-0372"/>
        <s v="AIW-0373"/>
        <s v="AIW-0374"/>
        <s v="AIW-0375"/>
        <s v="AIW-0376"/>
        <s v="AIW-0377"/>
        <s v="AIW-0378"/>
        <s v="AIW-0379"/>
        <s v="AIW-0380"/>
        <s v="AIW-0381"/>
        <s v="AIW-0382"/>
        <s v="AIW-0383"/>
        <s v="AIW-0384"/>
        <s v="AIW-0385"/>
        <s v="AIW-0386"/>
        <s v="AIW-0387"/>
        <s v="AIW-0388"/>
        <s v="AIW-0389"/>
        <s v="AIW-0390"/>
        <s v="AIW-0391"/>
        <s v="AIW-0392"/>
        <s v="AIW-0393"/>
        <s v="AIW-0394"/>
        <s v="AIW-0395"/>
        <s v="AIW-0396"/>
        <s v="AIW-0397"/>
        <s v="AIW-0398"/>
        <s v="AIW-0399"/>
        <s v="AIW-0400"/>
        <s v="AIW-0401"/>
        <s v="AIW-0402"/>
        <s v="AIW-0403"/>
        <s v="AIW-0404"/>
        <s v="AIW-0405"/>
        <s v="AIW-0406"/>
        <s v="AIW-0407"/>
        <s v="AIW-0408"/>
        <s v="AIW-0409"/>
        <s v="AIW-0410"/>
        <s v="AIW-0411"/>
        <s v="AIW-0412"/>
        <s v="AIW-0413"/>
        <s v="AIW-0414"/>
        <s v="AIW-0415"/>
        <s v="AIW-0416"/>
        <s v="AIW-0417"/>
        <s v="AIW-0418"/>
        <s v="AIW-0419"/>
        <s v="AIW-0420"/>
        <s v="AIW-0421"/>
        <s v="AIW-0422"/>
        <s v="AIW-0423"/>
        <s v="AIW-0424"/>
        <s v="AIW-0425"/>
        <s v="AIW-0426"/>
        <s v="AIW-0427"/>
        <s v="AIW-0428"/>
        <s v="AIW-0429"/>
        <s v="AIW-0430"/>
        <s v="AIW-0431"/>
        <s v="AIW-0432"/>
        <s v="AIW-0433"/>
        <s v="AIW-0434"/>
        <s v="AIW-0435"/>
        <s v="AIW-0436"/>
        <s v="AIW-0437"/>
        <s v="AIW-0438"/>
        <s v="AIW-0439"/>
        <s v="AIW-0440"/>
        <s v="AIW-0441"/>
        <s v="AIW-0442"/>
        <s v="AIW-0443"/>
        <s v="AIW-0444"/>
        <s v="AIW-0445"/>
        <s v="AIW-0446"/>
        <s v="AIW-0447"/>
        <s v="AIW-0448"/>
        <s v="AIW-0449"/>
        <s v="AIW-0450"/>
        <s v="AIW-0451"/>
        <s v="AIW-0452"/>
        <s v="AIW-0453"/>
        <s v="AIW-0454"/>
        <s v="AIW-0455"/>
        <s v="AIW-0456"/>
        <s v="AIW-0457"/>
        <s v="AIW-0458"/>
        <s v="AIW-0459"/>
        <s v="AIW-0460"/>
        <s v="AIW-0461"/>
        <s v="AIW-0462"/>
        <s v="AIW-0463"/>
        <s v="AIW-0464"/>
        <s v="AIW-0465"/>
        <s v="AIW-0466"/>
        <s v="AIW-0467"/>
        <s v="AIW-0468"/>
        <s v="AIW-0469"/>
        <s v="AIW-0470"/>
        <s v="AIW-0471"/>
        <s v="AIW-0472"/>
        <s v="AIW-0473"/>
        <s v="AIW-0474"/>
        <s v="AIW-0475"/>
        <s v="AIW-0476"/>
        <s v="AIW-0477"/>
        <s v="AIW-0478"/>
        <s v="AIW-0479"/>
        <s v="AIW-0480"/>
        <s v="AIW-0481"/>
        <s v="AIW-0482"/>
        <s v="AIW-0483"/>
        <s v="AIW-0484"/>
        <s v="AIW-0485"/>
        <s v="AIW-0486"/>
        <s v="AIW-0487"/>
        <s v="AIW-0488"/>
        <s v="AIW-0489"/>
        <s v="AIW-0490"/>
        <s v="AIW-0491"/>
        <s v="AIW-0492"/>
        <s v="AIW-0493"/>
        <s v="AIW-0494"/>
        <s v="AIW-0495"/>
        <s v="AIW-0496"/>
        <s v="AIW-0497"/>
        <s v="AIW-0498"/>
        <s v="AIW-0499"/>
        <s v="AIW-0500"/>
        <s v="AIW-0501"/>
        <s v="AIW-0502"/>
        <s v="AIW-0503"/>
        <s v="AIW-0504"/>
        <s v="AIW-0505"/>
        <s v="AIW-0506"/>
        <s v="AIW-0507"/>
        <s v="AIW-0508"/>
        <s v="AIW-0509"/>
        <s v="AIW-0510"/>
        <s v="AIW-0511"/>
        <s v="AIW-0512"/>
        <s v="AIW-0513"/>
        <s v="AIW-0514"/>
        <s v="AIW-0515"/>
        <s v="AIW-0516"/>
        <s v="AIW-0517"/>
        <s v="AIW-0518"/>
        <s v="AIW-0519"/>
        <s v="AIW-0520"/>
        <s v="AIW-0521"/>
        <s v="AIW-0522"/>
        <s v="AIW-0523"/>
      </sharedItems>
    </cacheField>
    <cacheField name="Year" numFmtId="0">
      <sharedItems containsSemiMixedTypes="0" containsString="0" containsNumber="1" containsInteger="1" minValue="2024" maxValue="2026" count="3">
        <n v="2025"/>
        <n v="2024"/>
        <n v="2026"/>
      </sharedItems>
    </cacheField>
    <cacheField name="Country" numFmtId="0">
      <sharedItems count="24">
        <s v="France"/>
        <s v="Germany"/>
        <s v="India"/>
        <s v="United Arab Emirates"/>
        <s v="Netherlands"/>
        <s v="United States"/>
        <s v="Australia "/>
        <s v="Brazil"/>
        <s v="Singapore"/>
        <s v="Australia"/>
        <s v="Mexico"/>
        <s v="Canada"/>
        <s v="PAKISTAN"/>
        <s v="Nigeria"/>
        <s v="United Kingdom"/>
        <s v="U.K."/>
        <s v="South Africa"/>
        <s v="United States of America"/>
        <s v="Japan"/>
        <s v=" Singapore"/>
        <s v="Canada "/>
        <s v="Singapore "/>
        <s v="UK"/>
        <s v="France "/>
      </sharedItems>
    </cacheField>
    <cacheField name="Industry" numFmtId="0">
      <sharedItems count="17">
        <s v="Finance &amp; Banking"/>
        <s v="Energy &amp; Utilities"/>
        <s v="Logistics &amp; Supply Chain"/>
        <s v="Consulting &amp; Professional Services"/>
        <s v="Manufacturing"/>
        <s v="Healthcare"/>
        <s v="Technology"/>
        <s v="Government &amp; Public Sector"/>
        <s v="Telecommunications"/>
        <s v="Education"/>
        <s v="Retail &amp; E-commerce"/>
        <s v="IT / Technology"/>
        <s v="Telecom"/>
        <s v="Banking &amp; Finance"/>
        <s v="Retail and E-commerce"/>
        <s v="Professional Services"/>
        <s v="Retail"/>
      </sharedItems>
    </cacheField>
    <cacheField name="Company_Size" numFmtId="0">
      <sharedItems count="10">
        <s v="Enterprise (1000+)"/>
        <s v="Medium (51-250)"/>
        <s v="Large (251-1000)"/>
        <s v="Small (1-50)"/>
        <s v="Large"/>
        <s v="Mid-size (51-250)"/>
        <s v="Large Enterprise (1000+)"/>
        <s v="Medium"/>
        <s v="Small"/>
        <s v="Enterprise"/>
      </sharedItems>
    </cacheField>
    <cacheField name="Job_Role" numFmtId="0">
      <sharedItems count="20">
        <s v="Sales Representative"/>
        <s v="Software Engineer"/>
        <s v="Legal &amp; Compliance Officer"/>
        <s v="HR Specialist"/>
        <s v="Customer Support Agent"/>
        <s v="Financial Analyst"/>
        <s v="Product Manager"/>
        <s v="Marketing Specialist"/>
        <s v="Operations Manager"/>
        <s v="Project Manager"/>
        <s v="Content Writer / Editor"/>
        <s v="Healthcare Administrator"/>
        <s v="Administrative Assistant"/>
        <s v="Data Analyst"/>
        <s v="Teacher / Trainer"/>
        <s v="Human Resources Specialist"/>
        <s v="SWE"/>
        <s v="Finance Analyst"/>
        <s v="Software Developer"/>
        <s v="Sales"/>
      </sharedItems>
    </cacheField>
    <cacheField name="Age_Group" numFmtId="0">
      <sharedItems containsBlank="1" containsMixedTypes="1" containsNumber="1" containsInteger="1" minValue="0" maxValue="0" count="11">
        <s v="35-44"/>
        <s v="45-54"/>
        <s v="55+"/>
        <s v="25-34"/>
        <s v="18-24"/>
        <s v="45â€“54"/>
        <n v="0"/>
        <s v="25â€“34"/>
        <s v="35 to 44"/>
        <s v="45 to 54"/>
        <m/>
      </sharedItems>
    </cacheField>
    <cacheField name="AI_Agent_Usage" numFmtId="0">
      <sharedItems count="5">
        <s v="High"/>
        <s v="Very High"/>
        <s v="Low"/>
        <s v="Moderate"/>
        <s v="No Usage"/>
      </sharedItems>
    </cacheField>
    <cacheField name="AI_Agent_Type" numFmtId="0">
      <sharedItems count="12">
        <s v="WORKFLOW AUTOMATION AGENT"/>
        <s v="Coding Agent"/>
        <s v="Data Processing Agent"/>
        <s v="Content Generation Agent"/>
        <s v="Scheduling &amp; Admin Agent"/>
        <s v="Customer Service Agent"/>
        <s v="Research &amp; Analysis Agent"/>
        <s v="Multi-Agent System"/>
        <s v="No Agent"/>
        <s v=" Coding Agent"/>
        <s v="Research &amp; Analysis Agent "/>
        <s v=" Scheduling &amp; Admin Agent"/>
      </sharedItems>
    </cacheField>
    <cacheField name="Tasks_Automated" numFmtId="0">
      <sharedItems containsSemiMixedTypes="0" containsString="0" containsNumber="1" containsInteger="1" minValue="0" maxValue="391"/>
    </cacheField>
    <cacheField name="Hours_Saved_Per_Week" numFmtId="0">
      <sharedItems containsString="0" containsBlank="1" containsNumber="1" minValue="0" maxValue="36.5"/>
    </cacheField>
    <cacheField name="Productivity_Change_Percent" numFmtId="0">
      <sharedItems containsSemiMixedTypes="0" containsString="0" containsNumber="1" minValue="-41.5" maxValue="128.30000000000001"/>
    </cacheField>
    <cacheField name="AI_Skill_Level" numFmtId="0">
      <sharedItems containsMixedTypes="1" containsNumber="1" containsInteger="1" minValue="0" maxValue="0"/>
    </cacheField>
    <cacheField name="Training_Hours" numFmtId="0">
      <sharedItems containsSemiMixedTypes="0" containsString="0" containsNumber="1" containsInteger="1" minValue="-8" maxValue="335" count="71">
        <n v="15"/>
        <n v="2"/>
        <n v="25"/>
        <n v="59"/>
        <n v="0"/>
        <n v="29"/>
        <n v="7"/>
        <n v="5"/>
        <n v="41"/>
        <n v="33"/>
        <n v="14"/>
        <n v="3"/>
        <n v="13"/>
        <n v="9"/>
        <n v="6"/>
        <n v="36"/>
        <n v="1"/>
        <n v="12"/>
        <n v="17"/>
        <n v="20"/>
        <n v="46"/>
        <n v="86"/>
        <n v="22"/>
        <n v="35"/>
        <n v="8"/>
        <n v="30"/>
        <n v="16"/>
        <n v="40"/>
        <n v="45"/>
        <n v="10"/>
        <n v="23"/>
        <n v="21"/>
        <n v="26"/>
        <n v="11"/>
        <n v="48"/>
        <n v="58"/>
        <n v="4"/>
        <n v="24"/>
        <n v="19"/>
        <n v="43"/>
        <n v="34"/>
        <n v="27"/>
        <n v="18"/>
        <n v="38"/>
        <n v="-8"/>
        <n v="28"/>
        <n v="72"/>
        <n v="71"/>
        <n v="335"/>
        <n v="39"/>
        <n v="67"/>
        <n v="57"/>
        <n v="37"/>
        <n v="52"/>
        <n v="63"/>
        <n v="47"/>
        <n v="113"/>
        <n v="32"/>
        <n v="55"/>
        <n v="50"/>
        <n v="60"/>
        <n v="44"/>
        <n v="111"/>
        <n v="53"/>
        <n v="51"/>
        <n v="96"/>
        <n v="243"/>
        <n v="254"/>
        <n v="42"/>
        <n v="56"/>
        <n v="31"/>
      </sharedItems>
    </cacheField>
    <cacheField name="Monthly_AI_Cost" numFmtId="0">
      <sharedItems containsString="0" containsBlank="1" containsNumber="1" minValue="0" maxValue="6075.96"/>
    </cacheField>
    <cacheField name="Job_Satisfaction" numFmtId="0">
      <sharedItems containsSemiMixedTypes="0" containsString="0" containsNumber="1" containsInteger="1" minValue="0" maxValue="10"/>
    </cacheField>
    <cacheField name="Workload_Level" numFmtId="0">
      <sharedItems count="4">
        <s v="Moderate"/>
        <s v="Low"/>
        <s v="High"/>
        <s v="Very High"/>
      </sharedItems>
    </cacheField>
    <cacheField name="Trust_in_AI" numFmtId="0">
      <sharedItems containsSemiMixedTypes="0" containsString="0" containsNumber="1" containsInteger="1" minValue="0" maxValue="11"/>
    </cacheField>
    <cacheField name="Human_AI_Collaboration" numFmtId="0">
      <sharedItems/>
    </cacheField>
    <cacheField name="Error_Rate" numFmtId="0">
      <sharedItems containsString="0" containsBlank="1" containsNumber="1" minValue="2.2000000000000002" maxValue="67.2"/>
    </cacheField>
    <cacheField name="Job_Risk_Level" numFmtId="0">
      <sharedItems count="5">
        <s v="Moderate"/>
        <s v="Very High"/>
        <s v="Low"/>
        <s v="High"/>
        <s v="High "/>
      </sharedItems>
    </cacheField>
    <cacheField name="Overall_AI_Impact" numFmtId="0">
      <sharedItems count="7">
        <s v="Positive"/>
        <s v="Neutral"/>
        <s v="Positive "/>
        <s v="Highly Positive"/>
        <s v="Highly Positive "/>
        <s v="Negative"/>
        <s v="Negative "/>
      </sharedItems>
    </cacheField>
  </cacheFields>
  <extLst>
    <ext xmlns:x14="http://schemas.microsoft.com/office/spreadsheetml/2009/9/main" uri="{725AE2AE-9491-48be-B2B4-4EB974FC3084}">
      <x14:pivotCacheDefinition pivotCacheId="1357278571"/>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3">
  <r>
    <x v="0"/>
    <x v="0"/>
    <x v="0"/>
    <x v="0"/>
    <x v="0"/>
    <x v="0"/>
    <x v="0"/>
    <x v="0"/>
    <x v="0"/>
    <n v="43"/>
    <n v="8.4"/>
    <n v="91.6"/>
    <s v="Intermediate"/>
    <x v="0"/>
    <n v="44.39"/>
    <n v="7"/>
    <x v="0"/>
    <n v="6"/>
    <s v="High"/>
    <n v="7"/>
    <x v="0"/>
    <x v="0"/>
  </r>
  <r>
    <x v="1"/>
    <x v="0"/>
    <x v="1"/>
    <x v="1"/>
    <x v="1"/>
    <x v="1"/>
    <x v="1"/>
    <x v="1"/>
    <x v="1"/>
    <n v="31"/>
    <n v="9"/>
    <n v="8.1"/>
    <s v="Intermediate"/>
    <x v="1"/>
    <n v="161.80000000000001"/>
    <n v="8"/>
    <x v="1"/>
    <n v="7"/>
    <s v="High"/>
    <n v="5.4"/>
    <x v="1"/>
    <x v="0"/>
  </r>
  <r>
    <x v="2"/>
    <x v="0"/>
    <x v="1"/>
    <x v="2"/>
    <x v="0"/>
    <x v="2"/>
    <x v="2"/>
    <x v="2"/>
    <x v="2"/>
    <n v="6"/>
    <n v="0.6"/>
    <n v="-11.2"/>
    <s v="Beginner"/>
    <x v="2"/>
    <n v="41.8"/>
    <n v="10"/>
    <x v="0"/>
    <n v="6"/>
    <s v="Moderate"/>
    <n v="6.7"/>
    <x v="2"/>
    <x v="0"/>
  </r>
  <r>
    <x v="3"/>
    <x v="0"/>
    <x v="0"/>
    <x v="2"/>
    <x v="0"/>
    <x v="2"/>
    <x v="0"/>
    <x v="0"/>
    <x v="3"/>
    <n v="16"/>
    <n v="0"/>
    <n v="5.9"/>
    <s v="Advanced"/>
    <x v="3"/>
    <n v="42.4"/>
    <n v="5"/>
    <x v="2"/>
    <n v="6"/>
    <s v="High"/>
    <n v="8.1999999999999993"/>
    <x v="0"/>
    <x v="1"/>
  </r>
  <r>
    <x v="4"/>
    <x v="1"/>
    <x v="2"/>
    <x v="0"/>
    <x v="0"/>
    <x v="3"/>
    <x v="3"/>
    <x v="0"/>
    <x v="4"/>
    <n v="23"/>
    <n v="6.5"/>
    <n v="-8.4"/>
    <s v="Intermediate"/>
    <x v="4"/>
    <n v="27.01"/>
    <n v="0"/>
    <x v="0"/>
    <n v="5"/>
    <s v="Moderate"/>
    <n v="9.6"/>
    <x v="0"/>
    <x v="1"/>
  </r>
  <r>
    <x v="5"/>
    <x v="0"/>
    <x v="3"/>
    <x v="3"/>
    <x v="0"/>
    <x v="4"/>
    <x v="3"/>
    <x v="3"/>
    <x v="5"/>
    <n v="15"/>
    <n v="1.9"/>
    <n v="1.6"/>
    <s v="Intermediate"/>
    <x v="2"/>
    <n v="45.59"/>
    <n v="8"/>
    <x v="2"/>
    <n v="6"/>
    <s v="High"/>
    <n v="6.5"/>
    <x v="1"/>
    <x v="1"/>
  </r>
  <r>
    <x v="6"/>
    <x v="2"/>
    <x v="2"/>
    <x v="4"/>
    <x v="0"/>
    <x v="5"/>
    <x v="3"/>
    <x v="3"/>
    <x v="6"/>
    <n v="14"/>
    <n v="1.1000000000000001"/>
    <n v="9.6"/>
    <s v="Beginner"/>
    <x v="5"/>
    <n v="56.42"/>
    <n v="7"/>
    <x v="0"/>
    <n v="5"/>
    <s v="Low"/>
    <n v="8.9"/>
    <x v="3"/>
    <x v="2"/>
  </r>
  <r>
    <x v="7"/>
    <x v="2"/>
    <x v="4"/>
    <x v="5"/>
    <x v="1"/>
    <x v="6"/>
    <x v="3"/>
    <x v="1"/>
    <x v="7"/>
    <n v="70"/>
    <n v="17.2"/>
    <n v="28.8"/>
    <s v="Advanced"/>
    <x v="6"/>
    <n v="146.96"/>
    <n v="9"/>
    <x v="0"/>
    <n v="7"/>
    <s v="High"/>
    <n v="8.6"/>
    <x v="1"/>
    <x v="3"/>
  </r>
  <r>
    <x v="8"/>
    <x v="2"/>
    <x v="5"/>
    <x v="0"/>
    <x v="1"/>
    <x v="7"/>
    <x v="4"/>
    <x v="0"/>
    <x v="2"/>
    <n v="111"/>
    <n v="4.2"/>
    <n v="19.399999999999999"/>
    <s v="Advanced"/>
    <x v="7"/>
    <n v="106.39"/>
    <n v="7"/>
    <x v="2"/>
    <n v="7"/>
    <s v="High"/>
    <n v="9.1999999999999993"/>
    <x v="0"/>
    <x v="0"/>
  </r>
  <r>
    <x v="9"/>
    <x v="0"/>
    <x v="6"/>
    <x v="5"/>
    <x v="1"/>
    <x v="1"/>
    <x v="0"/>
    <x v="0"/>
    <x v="1"/>
    <n v="16"/>
    <n v="2.5"/>
    <n v="11.3"/>
    <s v="Advanced"/>
    <x v="4"/>
    <n v="94.77"/>
    <n v="6"/>
    <x v="2"/>
    <n v="5"/>
    <s v="Moderate"/>
    <n v="11.3"/>
    <x v="1"/>
    <x v="1"/>
  </r>
  <r>
    <x v="10"/>
    <x v="1"/>
    <x v="7"/>
    <x v="6"/>
    <x v="2"/>
    <x v="1"/>
    <x v="3"/>
    <x v="0"/>
    <x v="1"/>
    <n v="16"/>
    <n v="3.5"/>
    <n v="8.3000000000000007"/>
    <s v="Beginner"/>
    <x v="8"/>
    <n v="174.04"/>
    <n v="6"/>
    <x v="2"/>
    <n v="4"/>
    <s v="Low"/>
    <n v="11.5"/>
    <x v="2"/>
    <x v="0"/>
  </r>
  <r>
    <x v="11"/>
    <x v="2"/>
    <x v="8"/>
    <x v="7"/>
    <x v="3"/>
    <x v="8"/>
    <x v="0"/>
    <x v="2"/>
    <x v="7"/>
    <n v="5"/>
    <n v="1"/>
    <n v="19.899999999999999"/>
    <s v="Beginner"/>
    <x v="9"/>
    <n v="29.89"/>
    <n v="7"/>
    <x v="2"/>
    <n v="6"/>
    <s v="Moderate"/>
    <n v="5.8"/>
    <x v="3"/>
    <x v="1"/>
  </r>
  <r>
    <x v="12"/>
    <x v="2"/>
    <x v="5"/>
    <x v="8"/>
    <x v="3"/>
    <x v="3"/>
    <x v="3"/>
    <x v="1"/>
    <x v="0"/>
    <n v="150"/>
    <n v="26"/>
    <n v="31"/>
    <s v="Advanced"/>
    <x v="10"/>
    <n v="118.18"/>
    <n v="9"/>
    <x v="1"/>
    <n v="7"/>
    <s v="Excellent"/>
    <n v="4.4000000000000004"/>
    <x v="2"/>
    <x v="4"/>
  </r>
  <r>
    <x v="13"/>
    <x v="1"/>
    <x v="9"/>
    <x v="6"/>
    <x v="1"/>
    <x v="1"/>
    <x v="5"/>
    <x v="2"/>
    <x v="1"/>
    <n v="2"/>
    <n v="1"/>
    <n v="6"/>
    <s v="Beginner"/>
    <x v="11"/>
    <n v="31.61"/>
    <n v="7"/>
    <x v="0"/>
    <n v="4"/>
    <s v="Moderate"/>
    <n v="11.9"/>
    <x v="2"/>
    <x v="0"/>
  </r>
  <r>
    <x v="14"/>
    <x v="2"/>
    <x v="5"/>
    <x v="2"/>
    <x v="2"/>
    <x v="9"/>
    <x v="1"/>
    <x v="0"/>
    <x v="0"/>
    <n v="109"/>
    <n v="14.9"/>
    <n v="26"/>
    <s v="Advanced"/>
    <x v="12"/>
    <n v="103.16"/>
    <n v="8"/>
    <x v="0"/>
    <n v="7"/>
    <s v="High"/>
    <n v="5.3"/>
    <x v="2"/>
    <x v="3"/>
  </r>
  <r>
    <x v="15"/>
    <x v="1"/>
    <x v="0"/>
    <x v="6"/>
    <x v="1"/>
    <x v="1"/>
    <x v="6"/>
    <x v="2"/>
    <x v="1"/>
    <n v="7"/>
    <n v="1.8"/>
    <n v="-1.2"/>
    <s v="Beginner"/>
    <x v="7"/>
    <n v="26.16"/>
    <n v="5"/>
    <x v="0"/>
    <n v="3"/>
    <s v="Low"/>
    <n v="10.1"/>
    <x v="2"/>
    <x v="1"/>
  </r>
  <r>
    <x v="16"/>
    <x v="1"/>
    <x v="10"/>
    <x v="9"/>
    <x v="2"/>
    <x v="1"/>
    <x v="1"/>
    <x v="2"/>
    <x v="1"/>
    <n v="3"/>
    <n v="0.6"/>
    <n v="-3.4"/>
    <s v="Intermediate"/>
    <x v="7"/>
    <n v="21.89"/>
    <n v="5"/>
    <x v="2"/>
    <n v="7"/>
    <s v="Moderate"/>
    <n v="7.2"/>
    <x v="0"/>
    <x v="1"/>
  </r>
  <r>
    <x v="17"/>
    <x v="0"/>
    <x v="11"/>
    <x v="3"/>
    <x v="1"/>
    <x v="10"/>
    <x v="0"/>
    <x v="0"/>
    <x v="3"/>
    <n v="30"/>
    <n v="5.5"/>
    <n v="6.4"/>
    <s v="Intermediate"/>
    <x v="13"/>
    <n v="46.11"/>
    <n v="6"/>
    <x v="2"/>
    <n v="6"/>
    <s v="High"/>
    <n v="7.6"/>
    <x v="1"/>
    <x v="1"/>
  </r>
  <r>
    <x v="18"/>
    <x v="1"/>
    <x v="1"/>
    <x v="3"/>
    <x v="1"/>
    <x v="0"/>
    <x v="1"/>
    <x v="2"/>
    <x v="3"/>
    <n v="4"/>
    <n v="0.7"/>
    <n v="-4.2"/>
    <s v="Beginner"/>
    <x v="14"/>
    <n v="11.95"/>
    <n v="5"/>
    <x v="1"/>
    <n v="4"/>
    <s v="Moderate"/>
    <n v="8.6999999999999993"/>
    <x v="2"/>
    <x v="1"/>
  </r>
  <r>
    <x v="19"/>
    <x v="1"/>
    <x v="12"/>
    <x v="1"/>
    <x v="0"/>
    <x v="4"/>
    <x v="3"/>
    <x v="2"/>
    <x v="5"/>
    <n v="5"/>
    <n v="1"/>
    <n v="-19.399999999999999"/>
    <s v="Beginner"/>
    <x v="4"/>
    <n v="20.71"/>
    <n v="7"/>
    <x v="0"/>
    <n v="5"/>
    <s v="Low"/>
    <n v="7.5"/>
    <x v="0"/>
    <x v="1"/>
  </r>
  <r>
    <x v="20"/>
    <x v="2"/>
    <x v="5"/>
    <x v="6"/>
    <x v="4"/>
    <x v="9"/>
    <x v="3"/>
    <x v="1"/>
    <x v="6"/>
    <n v="143"/>
    <n v="26"/>
    <n v="64.900000000000006"/>
    <s v="Advanced"/>
    <x v="15"/>
    <n v="156.65"/>
    <n v="10"/>
    <x v="0"/>
    <n v="9"/>
    <s v="Excellent"/>
    <n v="5.4"/>
    <x v="2"/>
    <x v="3"/>
  </r>
  <r>
    <x v="21"/>
    <x v="0"/>
    <x v="2"/>
    <x v="5"/>
    <x v="2"/>
    <x v="11"/>
    <x v="1"/>
    <x v="4"/>
    <x v="8"/>
    <n v="0"/>
    <n v="0"/>
    <n v="-7"/>
    <s v="Intermediate"/>
    <x v="16"/>
    <n v="0"/>
    <n v="9"/>
    <x v="0"/>
    <n v="3"/>
    <s v="Low"/>
    <m/>
    <x v="2"/>
    <x v="0"/>
  </r>
  <r>
    <x v="22"/>
    <x v="0"/>
    <x v="12"/>
    <x v="5"/>
    <x v="1"/>
    <x v="1"/>
    <x v="1"/>
    <x v="3"/>
    <x v="0"/>
    <n v="10"/>
    <n v="3.2"/>
    <n v="14.6"/>
    <s v="Beginner"/>
    <x v="17"/>
    <n v="43.73"/>
    <n v="5"/>
    <x v="3"/>
    <n v="5"/>
    <s v="Low"/>
    <n v="7.2"/>
    <x v="2"/>
    <x v="0"/>
  </r>
  <r>
    <x v="23"/>
    <x v="0"/>
    <x v="7"/>
    <x v="5"/>
    <x v="3"/>
    <x v="9"/>
    <x v="0"/>
    <x v="3"/>
    <x v="4"/>
    <n v="28"/>
    <n v="5.2"/>
    <n v="7.7"/>
    <s v="Intermediate"/>
    <x v="18"/>
    <n v="18.2"/>
    <n v="8"/>
    <x v="1"/>
    <n v="6"/>
    <s v="High"/>
    <n v="4.3"/>
    <x v="2"/>
    <x v="3"/>
  </r>
  <r>
    <x v="24"/>
    <x v="2"/>
    <x v="5"/>
    <x v="3"/>
    <x v="0"/>
    <x v="12"/>
    <x v="1"/>
    <x v="0"/>
    <x v="7"/>
    <n v="39"/>
    <n v="2.5"/>
    <n v="4.8"/>
    <s v="Beginner"/>
    <x v="19"/>
    <n v="197.86"/>
    <n v="8"/>
    <x v="2"/>
    <n v="5"/>
    <s v="Moderate"/>
    <n v="12.1"/>
    <x v="3"/>
    <x v="0"/>
  </r>
  <r>
    <x v="25"/>
    <x v="1"/>
    <x v="10"/>
    <x v="6"/>
    <x v="3"/>
    <x v="4"/>
    <x v="3"/>
    <x v="0"/>
    <x v="3"/>
    <n v="27"/>
    <n v="3.9"/>
    <n v="0.8"/>
    <s v="Mid"/>
    <x v="4"/>
    <n v="61.31"/>
    <n v="5"/>
    <x v="2"/>
    <n v="0"/>
    <s v="Moderate"/>
    <n v="10.5"/>
    <x v="0"/>
    <x v="1"/>
  </r>
  <r>
    <x v="26"/>
    <x v="0"/>
    <x v="5"/>
    <x v="0"/>
    <x v="3"/>
    <x v="1"/>
    <x v="0"/>
    <x v="3"/>
    <x v="1"/>
    <n v="18"/>
    <n v="9.9"/>
    <n v="8.1"/>
    <s v="Advanced"/>
    <x v="11"/>
    <n v="48.19"/>
    <n v="5"/>
    <x v="0"/>
    <n v="7"/>
    <s v="High"/>
    <n v="5.5"/>
    <x v="0"/>
    <x v="0"/>
  </r>
  <r>
    <x v="27"/>
    <x v="2"/>
    <x v="7"/>
    <x v="2"/>
    <x v="1"/>
    <x v="7"/>
    <x v="1"/>
    <x v="3"/>
    <x v="7"/>
    <n v="17"/>
    <n v="4"/>
    <n v="-5.6"/>
    <s v="Advanced"/>
    <x v="20"/>
    <n v="116.24"/>
    <n v="6"/>
    <x v="2"/>
    <n v="6"/>
    <s v="High"/>
    <n v="6.6"/>
    <x v="3"/>
    <x v="5"/>
  </r>
  <r>
    <x v="28"/>
    <x v="2"/>
    <x v="11"/>
    <x v="5"/>
    <x v="0"/>
    <x v="4"/>
    <x v="0"/>
    <x v="0"/>
    <x v="5"/>
    <n v="107"/>
    <n v="7.5"/>
    <n v="7.1"/>
    <s v="Advanced"/>
    <x v="21"/>
    <n v="44.89"/>
    <n v="7"/>
    <x v="0"/>
    <n v="7"/>
    <s v="Excellent"/>
    <n v="6.2"/>
    <x v="0"/>
    <x v="0"/>
  </r>
  <r>
    <x v="29"/>
    <x v="0"/>
    <x v="11"/>
    <x v="0"/>
    <x v="0"/>
    <x v="4"/>
    <x v="0"/>
    <x v="0"/>
    <x v="7"/>
    <n v="29"/>
    <n v="5.9"/>
    <n v="18.899999999999999"/>
    <s v="Intermediate"/>
    <x v="11"/>
    <n v="112.97"/>
    <n v="6"/>
    <x v="3"/>
    <n v="5"/>
    <s v="Moderate"/>
    <n v="8.6999999999999993"/>
    <x v="0"/>
    <x v="5"/>
  </r>
  <r>
    <x v="30"/>
    <x v="2"/>
    <x v="13"/>
    <x v="4"/>
    <x v="1"/>
    <x v="5"/>
    <x v="0"/>
    <x v="3"/>
    <x v="2"/>
    <n v="23"/>
    <n v="7.7"/>
    <n v="16.2"/>
    <s v="Advanced"/>
    <x v="22"/>
    <n v="41.21"/>
    <n v="5"/>
    <x v="2"/>
    <n v="5"/>
    <s v="Moderate"/>
    <n v="6.8"/>
    <x v="3"/>
    <x v="0"/>
  </r>
  <r>
    <x v="31"/>
    <x v="0"/>
    <x v="4"/>
    <x v="7"/>
    <x v="0"/>
    <x v="1"/>
    <x v="0"/>
    <x v="3"/>
    <x v="1"/>
    <n v="8"/>
    <n v="2.1"/>
    <n v="3.7"/>
    <s v="Advanced"/>
    <x v="2"/>
    <n v="41.09"/>
    <n v="9"/>
    <x v="0"/>
    <n v="6"/>
    <s v="High"/>
    <n v="5.3"/>
    <x v="2"/>
    <x v="3"/>
  </r>
  <r>
    <x v="32"/>
    <x v="0"/>
    <x v="5"/>
    <x v="9"/>
    <x v="3"/>
    <x v="13"/>
    <x v="4"/>
    <x v="3"/>
    <x v="6"/>
    <n v="6"/>
    <n v="2.2000000000000002"/>
    <n v="15.4"/>
    <s v="Advanced"/>
    <x v="4"/>
    <n v="28.61"/>
    <n v="10"/>
    <x v="0"/>
    <n v="8"/>
    <s v="High"/>
    <n v="7.9"/>
    <x v="0"/>
    <x v="3"/>
  </r>
  <r>
    <x v="33"/>
    <x v="2"/>
    <x v="14"/>
    <x v="0"/>
    <x v="2"/>
    <x v="1"/>
    <x v="0"/>
    <x v="0"/>
    <x v="7"/>
    <n v="62"/>
    <n v="26"/>
    <n v="33.700000000000003"/>
    <s v="Advanced"/>
    <x v="23"/>
    <n v="179.86"/>
    <n v="8"/>
    <x v="2"/>
    <n v="8"/>
    <s v="High"/>
    <n v="8.6"/>
    <x v="0"/>
    <x v="3"/>
  </r>
  <r>
    <x v="34"/>
    <x v="2"/>
    <x v="9"/>
    <x v="6"/>
    <x v="2"/>
    <x v="1"/>
    <x v="1"/>
    <x v="0"/>
    <x v="1"/>
    <n v="13"/>
    <n v="4.5"/>
    <n v="6"/>
    <s v="Intermediate"/>
    <x v="19"/>
    <n v="103.68"/>
    <n v="5"/>
    <x v="0"/>
    <n v="4"/>
    <s v="Moderate"/>
    <n v="11.2"/>
    <x v="1"/>
    <x v="1"/>
  </r>
  <r>
    <x v="35"/>
    <x v="0"/>
    <x v="12"/>
    <x v="8"/>
    <x v="1"/>
    <x v="0"/>
    <x v="0"/>
    <x v="2"/>
    <x v="6"/>
    <n v="2"/>
    <n v="0.5"/>
    <n v="-7.7"/>
    <s v="Beginner"/>
    <x v="24"/>
    <n v="27.63"/>
    <n v="8"/>
    <x v="0"/>
    <n v="6"/>
    <s v="Moderate"/>
    <n v="9.6"/>
    <x v="3"/>
    <x v="1"/>
  </r>
  <r>
    <x v="36"/>
    <x v="2"/>
    <x v="0"/>
    <x v="6"/>
    <x v="1"/>
    <x v="7"/>
    <x v="1"/>
    <x v="0"/>
    <x v="3"/>
    <n v="20"/>
    <m/>
    <n v="7.4"/>
    <s v="Intermediate"/>
    <x v="25"/>
    <n v="67.05"/>
    <n v="4"/>
    <x v="3"/>
    <n v="7"/>
    <s v="High"/>
    <m/>
    <x v="0"/>
    <x v="1"/>
  </r>
  <r>
    <x v="37"/>
    <x v="0"/>
    <x v="8"/>
    <x v="4"/>
    <x v="0"/>
    <x v="0"/>
    <x v="0"/>
    <x v="1"/>
    <x v="3"/>
    <n v="0"/>
    <n v="12.4"/>
    <n v="11.6"/>
    <s v="Advanced"/>
    <x v="25"/>
    <n v="101.6"/>
    <n v="10"/>
    <x v="0"/>
    <n v="6"/>
    <s v="High"/>
    <n v="8.1"/>
    <x v="3"/>
    <x v="0"/>
  </r>
  <r>
    <x v="38"/>
    <x v="2"/>
    <x v="13"/>
    <x v="9"/>
    <x v="2"/>
    <x v="14"/>
    <x v="3"/>
    <x v="3"/>
    <x v="6"/>
    <n v="11"/>
    <n v="3.9"/>
    <n v="-3.5"/>
    <s v="Advanced"/>
    <x v="26"/>
    <n v="15.98"/>
    <n v="10"/>
    <x v="0"/>
    <n v="5"/>
    <s v="High"/>
    <n v="17.2"/>
    <x v="2"/>
    <x v="1"/>
  </r>
  <r>
    <x v="39"/>
    <x v="0"/>
    <x v="2"/>
    <x v="5"/>
    <x v="2"/>
    <x v="5"/>
    <x v="3"/>
    <x v="2"/>
    <x v="6"/>
    <n v="7"/>
    <n v="3.1"/>
    <n v="-5.3"/>
    <s v="Beginner"/>
    <x v="16"/>
    <n v="16.760000000000002"/>
    <n v="6"/>
    <x v="0"/>
    <n v="5"/>
    <s v="Low"/>
    <n v="10.5"/>
    <x v="0"/>
    <x v="1"/>
  </r>
  <r>
    <x v="40"/>
    <x v="1"/>
    <x v="2"/>
    <x v="5"/>
    <x v="0"/>
    <x v="1"/>
    <x v="3"/>
    <x v="1"/>
    <x v="1"/>
    <n v="39"/>
    <n v="11.9"/>
    <n v="21.1"/>
    <s v="Expert"/>
    <x v="27"/>
    <n v="213.41"/>
    <n v="10"/>
    <x v="2"/>
    <n v="9"/>
    <s v="Excellent"/>
    <n v="4.3"/>
    <x v="2"/>
    <x v="3"/>
  </r>
  <r>
    <x v="41"/>
    <x v="0"/>
    <x v="5"/>
    <x v="0"/>
    <x v="1"/>
    <x v="11"/>
    <x v="1"/>
    <x v="3"/>
    <x v="2"/>
    <n v="31"/>
    <n v="2.9"/>
    <n v="-9.6999999999999993"/>
    <s v="Intermediate"/>
    <x v="28"/>
    <n v="40.42"/>
    <n v="6"/>
    <x v="0"/>
    <n v="7"/>
    <s v="High"/>
    <n v="4.7"/>
    <x v="2"/>
    <x v="0"/>
  </r>
  <r>
    <x v="42"/>
    <x v="1"/>
    <x v="5"/>
    <x v="2"/>
    <x v="1"/>
    <x v="9"/>
    <x v="2"/>
    <x v="3"/>
    <x v="0"/>
    <n v="32"/>
    <n v="2.2000000000000002"/>
    <n v="10.7"/>
    <s v="Beginner"/>
    <x v="26"/>
    <n v="73.34"/>
    <n v="6"/>
    <x v="0"/>
    <n v="6"/>
    <s v="Moderate"/>
    <n v="9.4"/>
    <x v="0"/>
    <x v="0"/>
  </r>
  <r>
    <x v="43"/>
    <x v="2"/>
    <x v="12"/>
    <x v="1"/>
    <x v="3"/>
    <x v="4"/>
    <x v="7"/>
    <x v="2"/>
    <x v="5"/>
    <n v="9"/>
    <n v="1.2"/>
    <n v="24.4"/>
    <s v="Advanced"/>
    <x v="29"/>
    <n v="13.3"/>
    <n v="6"/>
    <x v="0"/>
    <n v="8"/>
    <s v="Moderate"/>
    <n v="4.5"/>
    <x v="3"/>
    <x v="0"/>
  </r>
  <r>
    <x v="44"/>
    <x v="2"/>
    <x v="11"/>
    <x v="9"/>
    <x v="0"/>
    <x v="14"/>
    <x v="2"/>
    <x v="2"/>
    <x v="6"/>
    <n v="5"/>
    <n v="1"/>
    <n v="8.6999999999999993"/>
    <s v="Intermediate"/>
    <x v="19"/>
    <n v="15.92"/>
    <n v="8"/>
    <x v="0"/>
    <n v="6"/>
    <s v="Moderate"/>
    <n v="5.2"/>
    <x v="2"/>
    <x v="0"/>
  </r>
  <r>
    <x v="45"/>
    <x v="0"/>
    <x v="12"/>
    <x v="6"/>
    <x v="1"/>
    <x v="15"/>
    <x v="1"/>
    <x v="2"/>
    <x v="3"/>
    <n v="3"/>
    <n v="1.4"/>
    <n v="-19.399999999999999"/>
    <s v="Beginner"/>
    <x v="12"/>
    <n v="15.87"/>
    <n v="3"/>
    <x v="3"/>
    <n v="0"/>
    <s v="Low"/>
    <n v="16.899999999999999"/>
    <x v="3"/>
    <x v="5"/>
  </r>
  <r>
    <x v="46"/>
    <x v="1"/>
    <x v="9"/>
    <x v="2"/>
    <x v="1"/>
    <x v="6"/>
    <x v="3"/>
    <x v="3"/>
    <x v="6"/>
    <n v="0"/>
    <n v="1.3"/>
    <n v="-1.7"/>
    <s v="Intermediate"/>
    <x v="29"/>
    <n v="49.36"/>
    <n v="8"/>
    <x v="1"/>
    <n v="6"/>
    <s v="Moderate"/>
    <n v="8.1999999999999993"/>
    <x v="2"/>
    <x v="0"/>
  </r>
  <r>
    <x v="47"/>
    <x v="0"/>
    <x v="5"/>
    <x v="6"/>
    <x v="2"/>
    <x v="13"/>
    <x v="1"/>
    <x v="0"/>
    <x v="6"/>
    <n v="36"/>
    <n v="32.200000000000003"/>
    <n v="6.3"/>
    <s v="Advanced"/>
    <x v="30"/>
    <n v="103.23"/>
    <n v="0"/>
    <x v="2"/>
    <n v="7"/>
    <s v="Low"/>
    <n v="10.199999999999999"/>
    <x v="3"/>
    <x v="1"/>
  </r>
  <r>
    <x v="48"/>
    <x v="0"/>
    <x v="8"/>
    <x v="10"/>
    <x v="0"/>
    <x v="12"/>
    <x v="1"/>
    <x v="1"/>
    <x v="4"/>
    <n v="55"/>
    <n v="8.1"/>
    <n v="21.9"/>
    <s v="Advanced"/>
    <x v="2"/>
    <n v="58.74"/>
    <n v="7"/>
    <x v="0"/>
    <n v="5"/>
    <s v="High"/>
    <n v="7.5"/>
    <x v="3"/>
    <x v="0"/>
  </r>
  <r>
    <x v="49"/>
    <x v="1"/>
    <x v="1"/>
    <x v="6"/>
    <x v="2"/>
    <x v="1"/>
    <x v="0"/>
    <x v="0"/>
    <x v="1"/>
    <n v="8"/>
    <n v="2.2000000000000002"/>
    <n v="2.7"/>
    <s v="Advanced"/>
    <x v="31"/>
    <n v="203.08"/>
    <n v="7"/>
    <x v="2"/>
    <n v="7"/>
    <s v="Moderate"/>
    <n v="7.1"/>
    <x v="3"/>
    <x v="0"/>
  </r>
  <r>
    <x v="50"/>
    <x v="2"/>
    <x v="5"/>
    <x v="6"/>
    <x v="1"/>
    <x v="4"/>
    <x v="4"/>
    <x v="1"/>
    <x v="7"/>
    <n v="150"/>
    <n v="26"/>
    <n v="53.3"/>
    <s v="Expert"/>
    <x v="18"/>
    <n v="164.44"/>
    <n v="9"/>
    <x v="2"/>
    <n v="7"/>
    <s v="High"/>
    <n v="6.8"/>
    <x v="3"/>
    <x v="3"/>
  </r>
  <r>
    <x v="51"/>
    <x v="1"/>
    <x v="11"/>
    <x v="0"/>
    <x v="2"/>
    <x v="3"/>
    <x v="3"/>
    <x v="3"/>
    <x v="3"/>
    <n v="55"/>
    <n v="11.9"/>
    <n v="19.7"/>
    <s v="Intermediate"/>
    <x v="32"/>
    <n v="38.799999999999997"/>
    <n v="8"/>
    <x v="0"/>
    <n v="7"/>
    <s v="Moderate"/>
    <n v="7.4"/>
    <x v="2"/>
    <x v="3"/>
  </r>
  <r>
    <x v="52"/>
    <x v="0"/>
    <x v="8"/>
    <x v="0"/>
    <x v="1"/>
    <x v="1"/>
    <x v="0"/>
    <x v="1"/>
    <x v="0"/>
    <n v="48"/>
    <n v="10.4"/>
    <n v="15.8"/>
    <s v="Expert"/>
    <x v="33"/>
    <n v="147.63"/>
    <n v="9"/>
    <x v="1"/>
    <n v="5"/>
    <s v="High"/>
    <n v="6.5"/>
    <x v="0"/>
    <x v="0"/>
  </r>
  <r>
    <x v="53"/>
    <x v="2"/>
    <x v="9"/>
    <x v="0"/>
    <x v="3"/>
    <x v="7"/>
    <x v="0"/>
    <x v="3"/>
    <x v="7"/>
    <n v="20"/>
    <n v="3.8"/>
    <n v="17.7"/>
    <s v="Advanced"/>
    <x v="27"/>
    <n v="72.260000000000005"/>
    <n v="10"/>
    <x v="0"/>
    <n v="8"/>
    <s v="High"/>
    <n v="4.0999999999999996"/>
    <x v="0"/>
    <x v="3"/>
  </r>
  <r>
    <x v="54"/>
    <x v="2"/>
    <x v="5"/>
    <x v="0"/>
    <x v="3"/>
    <x v="4"/>
    <x v="0"/>
    <x v="3"/>
    <x v="7"/>
    <n v="33"/>
    <n v="7.8"/>
    <n v="17"/>
    <s v="Intermediate"/>
    <x v="4"/>
    <n v="64.78"/>
    <n v="7"/>
    <x v="1"/>
    <n v="6"/>
    <s v="High"/>
    <n v="4.5"/>
    <x v="1"/>
    <x v="3"/>
  </r>
  <r>
    <x v="55"/>
    <x v="0"/>
    <x v="5"/>
    <x v="0"/>
    <x v="1"/>
    <x v="4"/>
    <x v="4"/>
    <x v="0"/>
    <x v="0"/>
    <n v="84"/>
    <n v="21.1"/>
    <n v="25.1"/>
    <s v="Expert"/>
    <x v="15"/>
    <n v="62.45"/>
    <n v="10"/>
    <x v="2"/>
    <n v="5"/>
    <s v="High"/>
    <n v="6.3"/>
    <x v="2"/>
    <x v="3"/>
  </r>
  <r>
    <x v="56"/>
    <x v="2"/>
    <x v="2"/>
    <x v="6"/>
    <x v="1"/>
    <x v="1"/>
    <x v="4"/>
    <x v="0"/>
    <x v="6"/>
    <n v="10"/>
    <n v="2.4"/>
    <n v="-1.2"/>
    <s v="Expert"/>
    <x v="34"/>
    <n v="68.349999999999994"/>
    <n v="10"/>
    <x v="0"/>
    <n v="7"/>
    <s v="Excellent"/>
    <n v="3.5"/>
    <x v="2"/>
    <x v="0"/>
  </r>
  <r>
    <x v="57"/>
    <x v="2"/>
    <x v="1"/>
    <x v="11"/>
    <x v="1"/>
    <x v="13"/>
    <x v="2"/>
    <x v="0"/>
    <x v="1"/>
    <n v="22"/>
    <n v="3"/>
    <n v="28.2"/>
    <s v="Advanced"/>
    <x v="15"/>
    <n v="67.66"/>
    <n v="6"/>
    <x v="0"/>
    <n v="0"/>
    <s v="High"/>
    <n v="2.7"/>
    <x v="3"/>
    <x v="0"/>
  </r>
  <r>
    <x v="58"/>
    <x v="1"/>
    <x v="14"/>
    <x v="7"/>
    <x v="2"/>
    <x v="10"/>
    <x v="6"/>
    <x v="2"/>
    <x v="3"/>
    <n v="5"/>
    <n v="1.2"/>
    <n v="-9"/>
    <s v="Beginner"/>
    <x v="4"/>
    <n v="12.9"/>
    <n v="5"/>
    <x v="2"/>
    <n v="2"/>
    <s v="Low"/>
    <n v="28"/>
    <x v="3"/>
    <x v="5"/>
  </r>
  <r>
    <x v="59"/>
    <x v="1"/>
    <x v="15"/>
    <x v="6"/>
    <x v="2"/>
    <x v="5"/>
    <x v="1"/>
    <x v="2"/>
    <x v="6"/>
    <n v="5"/>
    <n v="1.4"/>
    <n v="-3"/>
    <s v="Beginner"/>
    <x v="4"/>
    <n v="23.23"/>
    <n v="7"/>
    <x v="0"/>
    <n v="6"/>
    <s v="Moderate"/>
    <n v="6.6"/>
    <x v="0"/>
    <x v="1"/>
  </r>
  <r>
    <x v="60"/>
    <x v="0"/>
    <x v="9"/>
    <x v="4"/>
    <x v="1"/>
    <x v="4"/>
    <x v="4"/>
    <x v="3"/>
    <x v="5"/>
    <n v="12"/>
    <n v="1.4"/>
    <n v="1.8"/>
    <s v="Beginner"/>
    <x v="14"/>
    <n v="24.2"/>
    <n v="0"/>
    <x v="0"/>
    <n v="5"/>
    <s v="Low"/>
    <n v="9.3000000000000007"/>
    <x v="0"/>
    <x v="1"/>
  </r>
  <r>
    <x v="61"/>
    <x v="0"/>
    <x v="2"/>
    <x v="10"/>
    <x v="0"/>
    <x v="7"/>
    <x v="0"/>
    <x v="0"/>
    <x v="6"/>
    <n v="52"/>
    <n v="8.3000000000000007"/>
    <n v="10.4"/>
    <s v="Expert"/>
    <x v="35"/>
    <n v="68.400000000000006"/>
    <n v="7"/>
    <x v="0"/>
    <n v="8"/>
    <s v="High"/>
    <n v="5.8"/>
    <x v="2"/>
    <x v="0"/>
  </r>
  <r>
    <x v="62"/>
    <x v="0"/>
    <x v="8"/>
    <x v="5"/>
    <x v="2"/>
    <x v="11"/>
    <x v="1"/>
    <x v="2"/>
    <x v="7"/>
    <n v="6"/>
    <n v="1.2"/>
    <n v="12.5"/>
    <s v="Intermediate"/>
    <x v="17"/>
    <n v="38.39"/>
    <n v="8"/>
    <x v="2"/>
    <n v="6"/>
    <s v="Moderate"/>
    <n v="18"/>
    <x v="2"/>
    <x v="0"/>
  </r>
  <r>
    <x v="63"/>
    <x v="0"/>
    <x v="5"/>
    <x v="10"/>
    <x v="3"/>
    <x v="12"/>
    <x v="1"/>
    <x v="2"/>
    <x v="0"/>
    <n v="9"/>
    <n v="2.2999999999999998"/>
    <n v="8.1999999999999993"/>
    <s v="Beginner"/>
    <x v="0"/>
    <n v="5.12"/>
    <n v="6"/>
    <x v="2"/>
    <n v="7"/>
    <s v="Moderate"/>
    <n v="13.1"/>
    <x v="3"/>
    <x v="0"/>
  </r>
  <r>
    <x v="64"/>
    <x v="2"/>
    <x v="8"/>
    <x v="0"/>
    <x v="0"/>
    <x v="5"/>
    <x v="3"/>
    <x v="1"/>
    <x v="7"/>
    <n v="70"/>
    <n v="13.2"/>
    <n v="22.6"/>
    <s v="Advanced"/>
    <x v="19"/>
    <n v="215.32"/>
    <n v="6"/>
    <x v="3"/>
    <n v="7"/>
    <s v="Excellent"/>
    <n v="13.2"/>
    <x v="1"/>
    <x v="1"/>
  </r>
  <r>
    <x v="65"/>
    <x v="1"/>
    <x v="1"/>
    <x v="1"/>
    <x v="2"/>
    <x v="3"/>
    <x v="3"/>
    <x v="2"/>
    <x v="0"/>
    <n v="6"/>
    <n v="0.6"/>
    <n v="-15.3"/>
    <s v="Beginner"/>
    <x v="10"/>
    <n v="22.57"/>
    <n v="6"/>
    <x v="1"/>
    <n v="3"/>
    <s v="Low"/>
    <n v="13.5"/>
    <x v="2"/>
    <x v="0"/>
  </r>
  <r>
    <x v="66"/>
    <x v="0"/>
    <x v="5"/>
    <x v="9"/>
    <x v="2"/>
    <x v="0"/>
    <x v="3"/>
    <x v="3"/>
    <x v="6"/>
    <n v="19"/>
    <n v="5.0999999999999996"/>
    <n v="7"/>
    <s v="Beginner"/>
    <x v="36"/>
    <n v="60.09"/>
    <n v="8"/>
    <x v="0"/>
    <n v="4"/>
    <s v="Moderate"/>
    <n v="8.8000000000000007"/>
    <x v="0"/>
    <x v="0"/>
  </r>
  <r>
    <x v="67"/>
    <x v="1"/>
    <x v="7"/>
    <x v="5"/>
    <x v="3"/>
    <x v="7"/>
    <x v="0"/>
    <x v="2"/>
    <x v="6"/>
    <n v="3"/>
    <n v="1.1000000000000001"/>
    <n v="10.5"/>
    <s v="Beginner"/>
    <x v="1"/>
    <n v="15.17"/>
    <n v="6"/>
    <x v="2"/>
    <n v="5"/>
    <s v="Low"/>
    <n v="9.5"/>
    <x v="3"/>
    <x v="0"/>
  </r>
  <r>
    <x v="68"/>
    <x v="0"/>
    <x v="5"/>
    <x v="0"/>
    <x v="2"/>
    <x v="2"/>
    <x v="0"/>
    <x v="0"/>
    <x v="6"/>
    <n v="47"/>
    <n v="12.1"/>
    <n v="24"/>
    <s v="Intermediate"/>
    <x v="37"/>
    <n v="47.79"/>
    <n v="9"/>
    <x v="2"/>
    <n v="6"/>
    <s v="Moderate"/>
    <n v="8"/>
    <x v="0"/>
    <x v="0"/>
  </r>
  <r>
    <x v="69"/>
    <x v="0"/>
    <x v="8"/>
    <x v="5"/>
    <x v="1"/>
    <x v="0"/>
    <x v="3"/>
    <x v="3"/>
    <x v="3"/>
    <n v="23"/>
    <n v="1.7"/>
    <n v="-9.8000000000000007"/>
    <s v="Beginner"/>
    <x v="33"/>
    <n v="22.19"/>
    <n v="4"/>
    <x v="2"/>
    <n v="4"/>
    <s v="Low"/>
    <n v="11.1"/>
    <x v="0"/>
    <x v="1"/>
  </r>
  <r>
    <x v="70"/>
    <x v="2"/>
    <x v="11"/>
    <x v="6"/>
    <x v="2"/>
    <x v="0"/>
    <x v="2"/>
    <x v="0"/>
    <x v="5"/>
    <n v="35"/>
    <n v="2.6"/>
    <n v="12.1"/>
    <s v="Beginner"/>
    <x v="33"/>
    <n v="53.67"/>
    <n v="7"/>
    <x v="0"/>
    <n v="5"/>
    <s v="Moderate"/>
    <n v="13.7"/>
    <x v="3"/>
    <x v="0"/>
  </r>
  <r>
    <x v="71"/>
    <x v="0"/>
    <x v="3"/>
    <x v="0"/>
    <x v="3"/>
    <x v="14"/>
    <x v="0"/>
    <x v="2"/>
    <x v="4"/>
    <n v="13"/>
    <n v="1.4"/>
    <n v="15.3"/>
    <s v="Intermediate"/>
    <x v="26"/>
    <n v="29.91"/>
    <n v="7"/>
    <x v="1"/>
    <n v="6"/>
    <s v="High"/>
    <n v="4.0999999999999996"/>
    <x v="2"/>
    <x v="0"/>
  </r>
  <r>
    <x v="72"/>
    <x v="0"/>
    <x v="5"/>
    <x v="2"/>
    <x v="3"/>
    <x v="8"/>
    <x v="1"/>
    <x v="2"/>
    <x v="2"/>
    <n v="5"/>
    <n v="3.4"/>
    <n v="6.7"/>
    <s v="Beginner"/>
    <x v="29"/>
    <n v="11.01"/>
    <n v="5"/>
    <x v="2"/>
    <n v="5"/>
    <s v="Low"/>
    <n v="6.5"/>
    <x v="0"/>
    <x v="1"/>
  </r>
  <r>
    <x v="73"/>
    <x v="2"/>
    <x v="14"/>
    <x v="9"/>
    <x v="1"/>
    <x v="10"/>
    <x v="0"/>
    <x v="0"/>
    <x v="3"/>
    <n v="64"/>
    <n v="16.100000000000001"/>
    <n v="5.9"/>
    <s v="Intermediate"/>
    <x v="18"/>
    <n v="58.35"/>
    <n v="8"/>
    <x v="1"/>
    <n v="5"/>
    <s v="High"/>
    <n v="12.7"/>
    <x v="3"/>
    <x v="0"/>
  </r>
  <r>
    <x v="74"/>
    <x v="0"/>
    <x v="2"/>
    <x v="9"/>
    <x v="2"/>
    <x v="10"/>
    <x v="3"/>
    <x v="1"/>
    <x v="3"/>
    <n v="36"/>
    <n v="3.1"/>
    <n v="-8.9"/>
    <s v="Intermediate"/>
    <x v="14"/>
    <n v="133.25"/>
    <n v="7"/>
    <x v="2"/>
    <n v="5"/>
    <s v="Moderate"/>
    <n v="9.8000000000000007"/>
    <x v="1"/>
    <x v="1"/>
  </r>
  <r>
    <x v="75"/>
    <x v="1"/>
    <x v="11"/>
    <x v="0"/>
    <x v="2"/>
    <x v="7"/>
    <x v="0"/>
    <x v="1"/>
    <x v="6"/>
    <n v="42"/>
    <n v="13.4"/>
    <n v="18.600000000000001"/>
    <s v="Intermediate"/>
    <x v="7"/>
    <n v="155.6"/>
    <n v="9"/>
    <x v="1"/>
    <n v="5"/>
    <s v="High"/>
    <n v="8.3000000000000007"/>
    <x v="3"/>
    <x v="3"/>
  </r>
  <r>
    <x v="76"/>
    <x v="2"/>
    <x v="11"/>
    <x v="4"/>
    <x v="3"/>
    <x v="7"/>
    <x v="1"/>
    <x v="0"/>
    <x v="3"/>
    <n v="41"/>
    <n v="9"/>
    <n v="6.2"/>
    <s v="Intermediate"/>
    <x v="11"/>
    <n v="46.31"/>
    <n v="7"/>
    <x v="2"/>
    <n v="6"/>
    <s v="High"/>
    <n v="5.6"/>
    <x v="3"/>
    <x v="0"/>
  </r>
  <r>
    <x v="77"/>
    <x v="2"/>
    <x v="2"/>
    <x v="10"/>
    <x v="5"/>
    <x v="1"/>
    <x v="3"/>
    <x v="0"/>
    <x v="1"/>
    <n v="21"/>
    <n v="10"/>
    <n v="27.8"/>
    <s v="Advanced"/>
    <x v="38"/>
    <n v="172.57"/>
    <n v="7"/>
    <x v="0"/>
    <n v="8"/>
    <s v="High"/>
    <n v="4.8"/>
    <x v="2"/>
    <x v="3"/>
  </r>
  <r>
    <x v="78"/>
    <x v="1"/>
    <x v="11"/>
    <x v="6"/>
    <x v="0"/>
    <x v="1"/>
    <x v="1"/>
    <x v="3"/>
    <x v="2"/>
    <n v="16"/>
    <n v="5.5"/>
    <n v="18.899999999999999"/>
    <s v="Intermediate"/>
    <x v="26"/>
    <n v="25.61"/>
    <n v="6"/>
    <x v="0"/>
    <n v="5"/>
    <s v="High"/>
    <n v="7.7"/>
    <x v="2"/>
    <x v="3"/>
  </r>
  <r>
    <x v="79"/>
    <x v="2"/>
    <x v="2"/>
    <x v="1"/>
    <x v="6"/>
    <x v="1"/>
    <x v="3"/>
    <x v="1"/>
    <x v="1"/>
    <n v="44"/>
    <n v="10.9"/>
    <n v="34.799999999999997"/>
    <s v="Expert"/>
    <x v="9"/>
    <n v="211.13"/>
    <n v="9"/>
    <x v="2"/>
    <n v="9"/>
    <s v="Excellent"/>
    <n v="2.2000000000000002"/>
    <x v="2"/>
    <x v="3"/>
  </r>
  <r>
    <x v="80"/>
    <x v="1"/>
    <x v="2"/>
    <x v="0"/>
    <x v="1"/>
    <x v="7"/>
    <x v="3"/>
    <x v="0"/>
    <x v="3"/>
    <n v="20"/>
    <n v="4.5999999999999996"/>
    <n v="6.1"/>
    <s v="Intermediate"/>
    <x v="10"/>
    <n v="43.21"/>
    <n v="7"/>
    <x v="0"/>
    <n v="7"/>
    <s v="Moderate"/>
    <n v="6.9"/>
    <x v="0"/>
    <x v="0"/>
  </r>
  <r>
    <x v="81"/>
    <x v="0"/>
    <x v="16"/>
    <x v="8"/>
    <x v="1"/>
    <x v="7"/>
    <x v="8"/>
    <x v="3"/>
    <x v="6"/>
    <n v="23"/>
    <n v="10.1"/>
    <n v="12.4"/>
    <s v="Advanced"/>
    <x v="39"/>
    <n v="15.25"/>
    <n v="8"/>
    <x v="0"/>
    <n v="7"/>
    <s v="Moderate"/>
    <n v="6.8"/>
    <x v="2"/>
    <x v="3"/>
  </r>
  <r>
    <x v="82"/>
    <x v="1"/>
    <x v="2"/>
    <x v="1"/>
    <x v="3"/>
    <x v="5"/>
    <x v="1"/>
    <x v="2"/>
    <x v="2"/>
    <n v="17"/>
    <n v="1.2"/>
    <n v="4.0999999999999996"/>
    <s v="Intermediate"/>
    <x v="14"/>
    <n v="30.73"/>
    <n v="9"/>
    <x v="1"/>
    <n v="6"/>
    <s v="Low"/>
    <n v="5.5"/>
    <x v="2"/>
    <x v="0"/>
  </r>
  <r>
    <x v="83"/>
    <x v="2"/>
    <x v="17"/>
    <x v="10"/>
    <x v="0"/>
    <x v="14"/>
    <x v="0"/>
    <x v="0"/>
    <x v="3"/>
    <n v="27"/>
    <n v="4.5"/>
    <n v="8.8000000000000007"/>
    <s v="Advanced"/>
    <x v="40"/>
    <n v="88.23"/>
    <n v="6"/>
    <x v="0"/>
    <n v="7"/>
    <s v="Excellent"/>
    <n v="7.3"/>
    <x v="2"/>
    <x v="1"/>
  </r>
  <r>
    <x v="84"/>
    <x v="0"/>
    <x v="5"/>
    <x v="0"/>
    <x v="1"/>
    <x v="0"/>
    <x v="3"/>
    <x v="3"/>
    <x v="6"/>
    <n v="28"/>
    <n v="8.8000000000000007"/>
    <n v="22.3"/>
    <s v="Intermediate"/>
    <x v="41"/>
    <n v="20.54"/>
    <n v="4"/>
    <x v="1"/>
    <n v="6"/>
    <s v="Moderate"/>
    <n v="9.6999999999999993"/>
    <x v="0"/>
    <x v="0"/>
  </r>
  <r>
    <x v="85"/>
    <x v="2"/>
    <x v="5"/>
    <x v="5"/>
    <x v="0"/>
    <x v="1"/>
    <x v="1"/>
    <x v="3"/>
    <x v="1"/>
    <n v="7"/>
    <n v="3.3"/>
    <n v="-0.4"/>
    <s v="Intermediate"/>
    <x v="42"/>
    <n v="107.57"/>
    <n v="7"/>
    <x v="0"/>
    <n v="7"/>
    <s v="Moderate"/>
    <n v="7.2"/>
    <x v="0"/>
    <x v="0"/>
  </r>
  <r>
    <x v="86"/>
    <x v="0"/>
    <x v="7"/>
    <x v="6"/>
    <x v="2"/>
    <x v="10"/>
    <x v="0"/>
    <x v="3"/>
    <x v="3"/>
    <n v="12"/>
    <n v="2.5"/>
    <n v="5.0999999999999996"/>
    <s v="Intermediate"/>
    <x v="6"/>
    <n v="46.31"/>
    <n v="0"/>
    <x v="2"/>
    <n v="3"/>
    <s v="Moderate"/>
    <n v="13.9"/>
    <x v="0"/>
    <x v="0"/>
  </r>
  <r>
    <x v="87"/>
    <x v="0"/>
    <x v="5"/>
    <x v="8"/>
    <x v="1"/>
    <x v="5"/>
    <x v="3"/>
    <x v="1"/>
    <x v="2"/>
    <n v="63"/>
    <n v="3.8"/>
    <n v="9.4"/>
    <s v="Advanced"/>
    <x v="29"/>
    <n v="85.1"/>
    <n v="9"/>
    <x v="1"/>
    <n v="5"/>
    <s v="High"/>
    <n v="9"/>
    <x v="2"/>
    <x v="3"/>
  </r>
  <r>
    <x v="88"/>
    <x v="1"/>
    <x v="5"/>
    <x v="1"/>
    <x v="3"/>
    <x v="8"/>
    <x v="4"/>
    <x v="4"/>
    <x v="8"/>
    <n v="0"/>
    <n v="0"/>
    <n v="-6"/>
    <s v="Beginner"/>
    <x v="4"/>
    <n v="0"/>
    <n v="6"/>
    <x v="0"/>
    <n v="3"/>
    <s v="Low"/>
    <m/>
    <x v="0"/>
    <x v="0"/>
  </r>
  <r>
    <x v="89"/>
    <x v="2"/>
    <x v="11"/>
    <x v="6"/>
    <x v="1"/>
    <x v="7"/>
    <x v="2"/>
    <x v="0"/>
    <x v="3"/>
    <n v="23"/>
    <n v="4.3"/>
    <n v="1.1000000000000001"/>
    <s v="Intermediate"/>
    <x v="32"/>
    <n v="98.5"/>
    <n v="5"/>
    <x v="0"/>
    <n v="4"/>
    <s v="Moderate"/>
    <n v="8.3000000000000007"/>
    <x v="3"/>
    <x v="1"/>
  </r>
  <r>
    <x v="90"/>
    <x v="2"/>
    <x v="8"/>
    <x v="0"/>
    <x v="3"/>
    <x v="1"/>
    <x v="2"/>
    <x v="1"/>
    <x v="1"/>
    <n v="35"/>
    <n v="6.3"/>
    <n v="18.3"/>
    <s v="Expert"/>
    <x v="4"/>
    <n v="59.32"/>
    <n v="7"/>
    <x v="2"/>
    <n v="0"/>
    <s v="Excellent"/>
    <n v="4.2"/>
    <x v="0"/>
    <x v="3"/>
  </r>
  <r>
    <x v="91"/>
    <x v="0"/>
    <x v="2"/>
    <x v="4"/>
    <x v="1"/>
    <x v="4"/>
    <x v="1"/>
    <x v="0"/>
    <x v="5"/>
    <n v="40"/>
    <n v="8.5"/>
    <n v="16.100000000000001"/>
    <s v="Advanced"/>
    <x v="43"/>
    <n v="154.47999999999999"/>
    <n v="6"/>
    <x v="2"/>
    <n v="7"/>
    <s v="High"/>
    <n v="6.2"/>
    <x v="0"/>
    <x v="0"/>
  </r>
  <r>
    <x v="92"/>
    <x v="2"/>
    <x v="10"/>
    <x v="9"/>
    <x v="2"/>
    <x v="0"/>
    <x v="3"/>
    <x v="0"/>
    <x v="3"/>
    <n v="28"/>
    <n v="6.3"/>
    <n v="13.2"/>
    <s v="Advanced"/>
    <x v="22"/>
    <n v="35.08"/>
    <n v="7"/>
    <x v="2"/>
    <n v="6"/>
    <s v="Excellent"/>
    <n v="8.1999999999999993"/>
    <x v="3"/>
    <x v="1"/>
  </r>
  <r>
    <x v="93"/>
    <x v="2"/>
    <x v="8"/>
    <x v="3"/>
    <x v="1"/>
    <x v="12"/>
    <x v="0"/>
    <x v="1"/>
    <x v="7"/>
    <n v="88"/>
    <n v="22.7"/>
    <n v="31.8"/>
    <s v="Advanced"/>
    <x v="37"/>
    <n v="240.92"/>
    <n v="8"/>
    <x v="0"/>
    <n v="7"/>
    <s v="Excellent"/>
    <n v="7.5"/>
    <x v="3"/>
    <x v="0"/>
  </r>
  <r>
    <x v="94"/>
    <x v="0"/>
    <x v="11"/>
    <x v="3"/>
    <x v="0"/>
    <x v="4"/>
    <x v="1"/>
    <x v="1"/>
    <x v="5"/>
    <n v="27"/>
    <n v="4.3"/>
    <n v="12.2"/>
    <s v="Advanced"/>
    <x v="44"/>
    <n v="90.1"/>
    <n v="7"/>
    <x v="3"/>
    <n v="6"/>
    <s v="High"/>
    <n v="7.2"/>
    <x v="0"/>
    <x v="0"/>
  </r>
  <r>
    <x v="95"/>
    <x v="2"/>
    <x v="12"/>
    <x v="0"/>
    <x v="2"/>
    <x v="4"/>
    <x v="0"/>
    <x v="0"/>
    <x v="7"/>
    <n v="20"/>
    <n v="6.3"/>
    <n v="16.899999999999999"/>
    <n v="0"/>
    <x v="45"/>
    <n v="99.96"/>
    <n v="6"/>
    <x v="0"/>
    <n v="5"/>
    <s v="Moderate"/>
    <n v="9.6"/>
    <x v="0"/>
    <x v="0"/>
  </r>
  <r>
    <x v="96"/>
    <x v="0"/>
    <x v="14"/>
    <x v="5"/>
    <x v="0"/>
    <x v="13"/>
    <x v="3"/>
    <x v="3"/>
    <x v="6"/>
    <n v="10"/>
    <n v="2.9"/>
    <n v="6.7"/>
    <s v="Intermediate"/>
    <x v="33"/>
    <n v="32.74"/>
    <n v="4"/>
    <x v="2"/>
    <n v="6"/>
    <s v="Moderate"/>
    <n v="15.2"/>
    <x v="0"/>
    <x v="1"/>
  </r>
  <r>
    <x v="97"/>
    <x v="0"/>
    <x v="1"/>
    <x v="3"/>
    <x v="2"/>
    <x v="7"/>
    <x v="3"/>
    <x v="0"/>
    <x v="3"/>
    <n v="77"/>
    <n v="21.2"/>
    <n v="20.6"/>
    <s v="Advanced"/>
    <x v="45"/>
    <n v="41.9"/>
    <n v="8"/>
    <x v="0"/>
    <n v="6"/>
    <s v="Excellent"/>
    <n v="11.8"/>
    <x v="2"/>
    <x v="0"/>
  </r>
  <r>
    <x v="98"/>
    <x v="0"/>
    <x v="18"/>
    <x v="6"/>
    <x v="3"/>
    <x v="9"/>
    <x v="0"/>
    <x v="0"/>
    <x v="0"/>
    <n v="44"/>
    <n v="5.8"/>
    <n v="0.3"/>
    <s v="Intermediate"/>
    <x v="13"/>
    <n v="34.15"/>
    <n v="6"/>
    <x v="2"/>
    <n v="0"/>
    <s v="Moderate"/>
    <n v="7.2"/>
    <x v="0"/>
    <x v="5"/>
  </r>
  <r>
    <x v="99"/>
    <x v="2"/>
    <x v="14"/>
    <x v="5"/>
    <x v="0"/>
    <x v="11"/>
    <x v="3"/>
    <x v="3"/>
    <x v="7"/>
    <n v="19"/>
    <n v="1.9"/>
    <n v="13.6"/>
    <s v="Intermediate"/>
    <x v="4"/>
    <n v="83.16"/>
    <n v="5"/>
    <x v="2"/>
    <n v="6"/>
    <s v="High"/>
    <n v="11.4"/>
    <x v="3"/>
    <x v="1"/>
  </r>
  <r>
    <x v="100"/>
    <x v="2"/>
    <x v="13"/>
    <x v="3"/>
    <x v="2"/>
    <x v="16"/>
    <x v="1"/>
    <x v="1"/>
    <x v="1"/>
    <n v="43"/>
    <n v="9.3000000000000007"/>
    <n v="20.100000000000001"/>
    <s v="Intermediate"/>
    <x v="4"/>
    <n v="86.94"/>
    <n v="5"/>
    <x v="1"/>
    <n v="7"/>
    <s v="Moderate"/>
    <n v="7.6"/>
    <x v="3"/>
    <x v="0"/>
  </r>
  <r>
    <x v="101"/>
    <x v="2"/>
    <x v="0"/>
    <x v="3"/>
    <x v="1"/>
    <x v="1"/>
    <x v="0"/>
    <x v="3"/>
    <x v="0"/>
    <n v="22"/>
    <n v="3.9"/>
    <n v="2.1"/>
    <s v="Beginner"/>
    <x v="17"/>
    <n v="44.38"/>
    <n v="7"/>
    <x v="1"/>
    <n v="5"/>
    <s v="Moderate"/>
    <n v="9.6999999999999993"/>
    <x v="3"/>
    <x v="0"/>
  </r>
  <r>
    <x v="102"/>
    <x v="0"/>
    <x v="14"/>
    <x v="5"/>
    <x v="3"/>
    <x v="11"/>
    <x v="3"/>
    <x v="0"/>
    <x v="7"/>
    <n v="42"/>
    <n v="4.5999999999999996"/>
    <n v="-9.5"/>
    <s v="Intermediate"/>
    <x v="11"/>
    <n v="131.81"/>
    <n v="4"/>
    <x v="2"/>
    <n v="6"/>
    <s v="Low"/>
    <n v="13.6"/>
    <x v="3"/>
    <x v="5"/>
  </r>
  <r>
    <x v="103"/>
    <x v="0"/>
    <x v="16"/>
    <x v="6"/>
    <x v="2"/>
    <x v="8"/>
    <x v="0"/>
    <x v="3"/>
    <x v="0"/>
    <n v="27"/>
    <n v="3"/>
    <n v="-5.8"/>
    <s v="Intermediate"/>
    <x v="15"/>
    <n v="57.48"/>
    <n v="6"/>
    <x v="2"/>
    <n v="4"/>
    <s v="Moderate"/>
    <n v="19.8"/>
    <x v="2"/>
    <x v="1"/>
  </r>
  <r>
    <x v="104"/>
    <x v="2"/>
    <x v="14"/>
    <x v="8"/>
    <x v="2"/>
    <x v="5"/>
    <x v="1"/>
    <x v="0"/>
    <x v="7"/>
    <n v="24"/>
    <n v="18.899999999999999"/>
    <n v="26.4"/>
    <s v="Beginner"/>
    <x v="18"/>
    <n v="113.02"/>
    <n v="7"/>
    <x v="2"/>
    <n v="7"/>
    <s v="Moderate"/>
    <n v="6.9"/>
    <x v="3"/>
    <x v="0"/>
  </r>
  <r>
    <x v="105"/>
    <x v="2"/>
    <x v="13"/>
    <x v="6"/>
    <x v="2"/>
    <x v="1"/>
    <x v="1"/>
    <x v="1"/>
    <x v="7"/>
    <n v="63"/>
    <n v="7.5"/>
    <n v="15.5"/>
    <s v="Advanced"/>
    <x v="42"/>
    <n v="187.46"/>
    <n v="7"/>
    <x v="2"/>
    <n v="6"/>
    <s v="Excellent"/>
    <n v="8.6999999999999993"/>
    <x v="0"/>
    <x v="0"/>
  </r>
  <r>
    <x v="106"/>
    <x v="0"/>
    <x v="1"/>
    <x v="0"/>
    <x v="2"/>
    <x v="4"/>
    <x v="1"/>
    <x v="3"/>
    <x v="5"/>
    <n v="26"/>
    <n v="2.2000000000000002"/>
    <n v="3.7"/>
    <s v="Intermediate"/>
    <x v="38"/>
    <n v="50.19"/>
    <n v="4"/>
    <x v="2"/>
    <n v="7"/>
    <s v="Moderate"/>
    <n v="7.6"/>
    <x v="3"/>
    <x v="1"/>
  </r>
  <r>
    <x v="107"/>
    <x v="2"/>
    <x v="5"/>
    <x v="6"/>
    <x v="0"/>
    <x v="1"/>
    <x v="1"/>
    <x v="1"/>
    <x v="1"/>
    <n v="30"/>
    <n v="2.1"/>
    <n v="7.8"/>
    <s v="Intermediate"/>
    <x v="4"/>
    <n v="168.47"/>
    <n v="5"/>
    <x v="0"/>
    <n v="7"/>
    <s v="High"/>
    <n v="4.4000000000000004"/>
    <x v="2"/>
    <x v="0"/>
  </r>
  <r>
    <x v="108"/>
    <x v="2"/>
    <x v="16"/>
    <x v="6"/>
    <x v="1"/>
    <x v="12"/>
    <x v="3"/>
    <x v="3"/>
    <x v="4"/>
    <n v="54"/>
    <n v="5.2"/>
    <n v="26"/>
    <s v="Advanced"/>
    <x v="14"/>
    <n v="23.73"/>
    <n v="6"/>
    <x v="2"/>
    <n v="6"/>
    <s v="High"/>
    <n v="8.5"/>
    <x v="0"/>
    <x v="0"/>
  </r>
  <r>
    <x v="109"/>
    <x v="1"/>
    <x v="0"/>
    <x v="10"/>
    <x v="2"/>
    <x v="8"/>
    <x v="1"/>
    <x v="3"/>
    <x v="0"/>
    <n v="21"/>
    <n v="2.2000000000000002"/>
    <n v="5.8"/>
    <s v="Intermediate"/>
    <x v="7"/>
    <n v="27.89"/>
    <n v="4"/>
    <x v="3"/>
    <n v="4"/>
    <s v="Low"/>
    <n v="13.4"/>
    <x v="0"/>
    <x v="5"/>
  </r>
  <r>
    <x v="110"/>
    <x v="0"/>
    <x v="5"/>
    <x v="6"/>
    <x v="2"/>
    <x v="4"/>
    <x v="1"/>
    <x v="3"/>
    <x v="5"/>
    <n v="38"/>
    <n v="4.2"/>
    <n v="1.4"/>
    <s v="Advanced"/>
    <x v="46"/>
    <n v="29.85"/>
    <n v="7"/>
    <x v="3"/>
    <n v="5"/>
    <s v="Moderate"/>
    <n v="16.399999999999999"/>
    <x v="2"/>
    <x v="1"/>
  </r>
  <r>
    <x v="111"/>
    <x v="0"/>
    <x v="11"/>
    <x v="6"/>
    <x v="2"/>
    <x v="1"/>
    <x v="0"/>
    <x v="0"/>
    <x v="1"/>
    <n v="10"/>
    <n v="2.5"/>
    <n v="-4.5"/>
    <s v="Beginner"/>
    <x v="17"/>
    <n v="92.34"/>
    <n v="6"/>
    <x v="2"/>
    <n v="4"/>
    <s v="Moderate"/>
    <n v="19.7"/>
    <x v="0"/>
    <x v="5"/>
  </r>
  <r>
    <x v="112"/>
    <x v="0"/>
    <x v="12"/>
    <x v="6"/>
    <x v="2"/>
    <x v="5"/>
    <x v="1"/>
    <x v="0"/>
    <x v="7"/>
    <n v="35"/>
    <n v="12.4"/>
    <n v="28.8"/>
    <s v="Intermediate"/>
    <x v="2"/>
    <n v="108.81"/>
    <n v="7"/>
    <x v="2"/>
    <n v="5"/>
    <s v="Moderate"/>
    <n v="7.7"/>
    <x v="1"/>
    <x v="0"/>
  </r>
  <r>
    <x v="113"/>
    <x v="0"/>
    <x v="13"/>
    <x v="10"/>
    <x v="0"/>
    <x v="3"/>
    <x v="1"/>
    <x v="3"/>
    <x v="7"/>
    <n v="29"/>
    <n v="11.1"/>
    <n v="19.2"/>
    <s v="Intermediate"/>
    <x v="33"/>
    <n v="232.51"/>
    <n v="0"/>
    <x v="0"/>
    <n v="6"/>
    <s v="High"/>
    <n v="7.7"/>
    <x v="3"/>
    <x v="0"/>
  </r>
  <r>
    <x v="114"/>
    <x v="1"/>
    <x v="5"/>
    <x v="5"/>
    <x v="3"/>
    <x v="1"/>
    <x v="3"/>
    <x v="3"/>
    <x v="1"/>
    <n v="8"/>
    <n v="3.6"/>
    <n v="14.2"/>
    <s v="Beginner"/>
    <x v="6"/>
    <n v="106.95"/>
    <n v="9"/>
    <x v="1"/>
    <n v="5"/>
    <s v="Low"/>
    <n v="5.8"/>
    <x v="0"/>
    <x v="3"/>
  </r>
  <r>
    <x v="115"/>
    <x v="2"/>
    <x v="2"/>
    <x v="6"/>
    <x v="2"/>
    <x v="8"/>
    <x v="2"/>
    <x v="0"/>
    <x v="0"/>
    <n v="36"/>
    <n v="3.7"/>
    <n v="10.5"/>
    <s v="Advanced"/>
    <x v="6"/>
    <n v="23.78"/>
    <n v="6"/>
    <x v="0"/>
    <n v="10"/>
    <s v="Excellent"/>
    <n v="5.8"/>
    <x v="3"/>
    <x v="0"/>
  </r>
  <r>
    <x v="116"/>
    <x v="2"/>
    <x v="7"/>
    <x v="4"/>
    <x v="1"/>
    <x v="1"/>
    <x v="0"/>
    <x v="0"/>
    <x v="7"/>
    <n v="119"/>
    <n v="26"/>
    <n v="41"/>
    <s v="Expert"/>
    <x v="45"/>
    <n v="242.25"/>
    <n v="9"/>
    <x v="0"/>
    <n v="7"/>
    <s v="Excellent"/>
    <n v="8.6999999999999993"/>
    <x v="0"/>
    <x v="3"/>
  </r>
  <r>
    <x v="117"/>
    <x v="2"/>
    <x v="5"/>
    <x v="9"/>
    <x v="3"/>
    <x v="8"/>
    <x v="3"/>
    <x v="0"/>
    <x v="7"/>
    <n v="66"/>
    <n v="8.9"/>
    <n v="2.7"/>
    <s v="Advanced"/>
    <x v="4"/>
    <n v="122.56"/>
    <n v="7"/>
    <x v="2"/>
    <n v="6"/>
    <s v="High"/>
    <n v="17.600000000000001"/>
    <x v="3"/>
    <x v="1"/>
  </r>
  <r>
    <x v="118"/>
    <x v="2"/>
    <x v="0"/>
    <x v="1"/>
    <x v="2"/>
    <x v="8"/>
    <x v="0"/>
    <x v="0"/>
    <x v="2"/>
    <n v="112"/>
    <n v="26"/>
    <n v="42.6"/>
    <s v="Expert"/>
    <x v="47"/>
    <n v="83.71"/>
    <n v="9"/>
    <x v="1"/>
    <n v="8"/>
    <s v="High"/>
    <m/>
    <x v="2"/>
    <x v="3"/>
  </r>
  <r>
    <x v="119"/>
    <x v="0"/>
    <x v="2"/>
    <x v="0"/>
    <x v="0"/>
    <x v="13"/>
    <x v="2"/>
    <x v="3"/>
    <x v="6"/>
    <n v="8"/>
    <n v="2.8"/>
    <n v="7.9"/>
    <s v="Intermediate"/>
    <x v="48"/>
    <n v="157.63999999999999"/>
    <n v="6"/>
    <x v="3"/>
    <n v="6"/>
    <s v="Moderate"/>
    <n v="10.9"/>
    <x v="0"/>
    <x v="0"/>
  </r>
  <r>
    <x v="120"/>
    <x v="1"/>
    <x v="2"/>
    <x v="8"/>
    <x v="2"/>
    <x v="1"/>
    <x v="3"/>
    <x v="3"/>
    <x v="9"/>
    <n v="13"/>
    <n v="5.2"/>
    <n v="12.4"/>
    <s v="Intermediate"/>
    <x v="4"/>
    <n v="54.12"/>
    <n v="7"/>
    <x v="1"/>
    <n v="4"/>
    <s v="Moderate"/>
    <n v="9.6999999999999993"/>
    <x v="0"/>
    <x v="3"/>
  </r>
  <r>
    <x v="121"/>
    <x v="0"/>
    <x v="1"/>
    <x v="3"/>
    <x v="0"/>
    <x v="1"/>
    <x v="6"/>
    <x v="0"/>
    <x v="0"/>
    <n v="39"/>
    <n v="6.7"/>
    <n v="14"/>
    <s v="Intermediate"/>
    <x v="24"/>
    <n v="82.26"/>
    <n v="7"/>
    <x v="0"/>
    <n v="5"/>
    <s v="Moderate"/>
    <n v="9.3000000000000007"/>
    <x v="0"/>
    <x v="0"/>
  </r>
  <r>
    <x v="122"/>
    <x v="2"/>
    <x v="10"/>
    <x v="9"/>
    <x v="3"/>
    <x v="14"/>
    <x v="3"/>
    <x v="0"/>
    <x v="3"/>
    <n v="40"/>
    <n v="8.1"/>
    <n v="14.3"/>
    <s v="Intermediate"/>
    <x v="2"/>
    <n v="38.590000000000003"/>
    <n v="8"/>
    <x v="0"/>
    <n v="7"/>
    <s v="High"/>
    <n v="8.6999999999999993"/>
    <x v="0"/>
    <x v="0"/>
  </r>
  <r>
    <x v="123"/>
    <x v="1"/>
    <x v="11"/>
    <x v="0"/>
    <x v="0"/>
    <x v="1"/>
    <x v="1"/>
    <x v="3"/>
    <x v="1"/>
    <n v="16"/>
    <n v="5"/>
    <n v="-0.5"/>
    <s v="Intermediate"/>
    <x v="18"/>
    <n v="139.22"/>
    <n v="6"/>
    <x v="3"/>
    <n v="4"/>
    <s v="Moderate"/>
    <n v="8.6"/>
    <x v="0"/>
    <x v="1"/>
  </r>
  <r>
    <x v="124"/>
    <x v="0"/>
    <x v="10"/>
    <x v="10"/>
    <x v="1"/>
    <x v="7"/>
    <x v="1"/>
    <x v="2"/>
    <x v="3"/>
    <n v="3"/>
    <n v="0.2"/>
    <n v="-8.1"/>
    <s v="Beginner"/>
    <x v="17"/>
    <n v="15.2"/>
    <n v="5"/>
    <x v="3"/>
    <n v="3"/>
    <s v="Low"/>
    <n v="17"/>
    <x v="0"/>
    <x v="5"/>
  </r>
  <r>
    <x v="125"/>
    <x v="2"/>
    <x v="16"/>
    <x v="7"/>
    <x v="3"/>
    <x v="8"/>
    <x v="3"/>
    <x v="2"/>
    <x v="4"/>
    <n v="8"/>
    <n v="1.2"/>
    <n v="10.199999999999999"/>
    <s v="Intermediate"/>
    <x v="22"/>
    <n v="7.37"/>
    <n v="6"/>
    <x v="2"/>
    <n v="8"/>
    <s v="Moderate"/>
    <n v="8.1999999999999993"/>
    <x v="2"/>
    <x v="0"/>
  </r>
  <r>
    <x v="126"/>
    <x v="2"/>
    <x v="5"/>
    <x v="6"/>
    <x v="1"/>
    <x v="5"/>
    <x v="1"/>
    <x v="3"/>
    <x v="6"/>
    <n v="22"/>
    <n v="6.6"/>
    <n v="9"/>
    <s v="Intermediate"/>
    <x v="49"/>
    <n v="71.16"/>
    <n v="5"/>
    <x v="3"/>
    <n v="8"/>
    <s v="High"/>
    <n v="6.4"/>
    <x v="2"/>
    <x v="0"/>
  </r>
  <r>
    <x v="127"/>
    <x v="2"/>
    <x v="16"/>
    <x v="5"/>
    <x v="1"/>
    <x v="5"/>
    <x v="0"/>
    <x v="2"/>
    <x v="7"/>
    <n v="15"/>
    <n v="1.9"/>
    <n v="-4.4000000000000004"/>
    <s v="Beginner"/>
    <x v="18"/>
    <n v="28.82"/>
    <n v="7"/>
    <x v="2"/>
    <n v="2"/>
    <s v="Low"/>
    <n v="8.3000000000000007"/>
    <x v="2"/>
    <x v="0"/>
  </r>
  <r>
    <x v="128"/>
    <x v="2"/>
    <x v="5"/>
    <x v="8"/>
    <x v="0"/>
    <x v="12"/>
    <x v="3"/>
    <x v="1"/>
    <x v="4"/>
    <n v="42"/>
    <n v="8.5"/>
    <n v="5.3"/>
    <s v="Advanced"/>
    <x v="37"/>
    <n v="53.06"/>
    <n v="6"/>
    <x v="0"/>
    <n v="6"/>
    <s v="High"/>
    <n v="8.8000000000000007"/>
    <x v="1"/>
    <x v="1"/>
  </r>
  <r>
    <x v="129"/>
    <x v="2"/>
    <x v="0"/>
    <x v="6"/>
    <x v="3"/>
    <x v="1"/>
    <x v="4"/>
    <x v="0"/>
    <x v="1"/>
    <n v="28"/>
    <n v="14.9"/>
    <n v="34"/>
    <s v="Advanced"/>
    <x v="4"/>
    <n v="59.33"/>
    <n v="8"/>
    <x v="0"/>
    <n v="6"/>
    <s v="High"/>
    <n v="3.9"/>
    <x v="0"/>
    <x v="3"/>
  </r>
  <r>
    <x v="130"/>
    <x v="1"/>
    <x v="5"/>
    <x v="2"/>
    <x v="1"/>
    <x v="1"/>
    <x v="0"/>
    <x v="2"/>
    <x v="1"/>
    <n v="3"/>
    <n v="1.2"/>
    <n v="13.8"/>
    <s v="Beginner"/>
    <x v="24"/>
    <n v="18.25"/>
    <n v="8"/>
    <x v="0"/>
    <n v="4"/>
    <s v="Low"/>
    <n v="6.6"/>
    <x v="0"/>
    <x v="0"/>
  </r>
  <r>
    <x v="131"/>
    <x v="1"/>
    <x v="2"/>
    <x v="2"/>
    <x v="3"/>
    <x v="0"/>
    <x v="1"/>
    <x v="4"/>
    <x v="8"/>
    <n v="0"/>
    <n v="0"/>
    <n v="3"/>
    <s v="Beginner"/>
    <x v="4"/>
    <n v="0"/>
    <n v="7"/>
    <x v="1"/>
    <n v="3"/>
    <s v="Low"/>
    <m/>
    <x v="0"/>
    <x v="0"/>
  </r>
  <r>
    <x v="132"/>
    <x v="0"/>
    <x v="5"/>
    <x v="10"/>
    <x v="3"/>
    <x v="1"/>
    <x v="3"/>
    <x v="0"/>
    <x v="1"/>
    <n v="41"/>
    <n v="15.2"/>
    <n v="11.8"/>
    <s v="Intermediate"/>
    <x v="4"/>
    <n v="155.47999999999999"/>
    <n v="10"/>
    <x v="0"/>
    <n v="3"/>
    <s v="Moderate"/>
    <n v="14.5"/>
    <x v="2"/>
    <x v="0"/>
  </r>
  <r>
    <x v="133"/>
    <x v="0"/>
    <x v="2"/>
    <x v="7"/>
    <x v="1"/>
    <x v="7"/>
    <x v="3"/>
    <x v="1"/>
    <x v="6"/>
    <n v="33"/>
    <n v="3.2"/>
    <n v="6.5"/>
    <s v="Intermediate"/>
    <x v="13"/>
    <n v="205.43"/>
    <n v="4"/>
    <x v="2"/>
    <n v="5"/>
    <s v="Moderate"/>
    <n v="14.3"/>
    <x v="3"/>
    <x v="1"/>
  </r>
  <r>
    <x v="134"/>
    <x v="0"/>
    <x v="5"/>
    <x v="1"/>
    <x v="1"/>
    <x v="13"/>
    <x v="3"/>
    <x v="4"/>
    <x v="8"/>
    <n v="0"/>
    <n v="0"/>
    <n v="5.5"/>
    <s v="Beginner"/>
    <x v="1"/>
    <n v="0"/>
    <n v="7"/>
    <x v="2"/>
    <n v="3"/>
    <s v="Low"/>
    <m/>
    <x v="2"/>
    <x v="1"/>
  </r>
  <r>
    <x v="135"/>
    <x v="1"/>
    <x v="19"/>
    <x v="2"/>
    <x v="0"/>
    <x v="13"/>
    <x v="0"/>
    <x v="1"/>
    <x v="6"/>
    <n v="61"/>
    <n v="9.6999999999999993"/>
    <n v="17.8"/>
    <s v="Expert"/>
    <x v="43"/>
    <n v="144.69999999999999"/>
    <n v="0"/>
    <x v="2"/>
    <n v="7"/>
    <s v="Excellent"/>
    <n v="7.5"/>
    <x v="2"/>
    <x v="3"/>
  </r>
  <r>
    <x v="136"/>
    <x v="0"/>
    <x v="5"/>
    <x v="3"/>
    <x v="1"/>
    <x v="9"/>
    <x v="3"/>
    <x v="1"/>
    <x v="0"/>
    <n v="77"/>
    <n v="8.1"/>
    <n v="6.1"/>
    <s v="Expert"/>
    <x v="14"/>
    <n v="162.29"/>
    <n v="7"/>
    <x v="3"/>
    <n v="8"/>
    <s v="High"/>
    <n v="5.8"/>
    <x v="0"/>
    <x v="0"/>
  </r>
  <r>
    <x v="137"/>
    <x v="0"/>
    <x v="5"/>
    <x v="9"/>
    <x v="2"/>
    <x v="12"/>
    <x v="1"/>
    <x v="0"/>
    <x v="3"/>
    <n v="27"/>
    <n v="12.4"/>
    <n v="8.6999999999999993"/>
    <s v="Advanced"/>
    <x v="26"/>
    <n v="72.430000000000007"/>
    <n v="9"/>
    <x v="1"/>
    <n v="8"/>
    <s v="High"/>
    <n v="7.5"/>
    <x v="1"/>
    <x v="0"/>
  </r>
  <r>
    <x v="138"/>
    <x v="0"/>
    <x v="2"/>
    <x v="0"/>
    <x v="0"/>
    <x v="1"/>
    <x v="3"/>
    <x v="1"/>
    <x v="1"/>
    <n v="28"/>
    <n v="11.3"/>
    <n v="30.9"/>
    <s v="Expert"/>
    <x v="28"/>
    <n v="145.72999999999999"/>
    <n v="10"/>
    <x v="1"/>
    <n v="9"/>
    <s v="Excellent"/>
    <n v="7.5"/>
    <x v="2"/>
    <x v="3"/>
  </r>
  <r>
    <x v="139"/>
    <x v="2"/>
    <x v="2"/>
    <x v="0"/>
    <x v="2"/>
    <x v="0"/>
    <x v="4"/>
    <x v="1"/>
    <x v="3"/>
    <n v="55"/>
    <n v="7.7"/>
    <n v="28.1"/>
    <s v="Advanced"/>
    <x v="33"/>
    <n v="68.540000000000006"/>
    <n v="7"/>
    <x v="3"/>
    <n v="7"/>
    <s v="Moderate"/>
    <n v="16.7"/>
    <x v="2"/>
    <x v="0"/>
  </r>
  <r>
    <x v="140"/>
    <x v="2"/>
    <x v="0"/>
    <x v="9"/>
    <x v="2"/>
    <x v="14"/>
    <x v="3"/>
    <x v="3"/>
    <x v="3"/>
    <n v="18"/>
    <n v="4.0999999999999996"/>
    <n v="1.7"/>
    <s v="Intermediate"/>
    <x v="4"/>
    <n v="6075.96"/>
    <n v="3"/>
    <x v="2"/>
    <n v="7"/>
    <s v="Moderate"/>
    <n v="11.2"/>
    <x v="3"/>
    <x v="1"/>
  </r>
  <r>
    <x v="141"/>
    <x v="2"/>
    <x v="16"/>
    <x v="6"/>
    <x v="0"/>
    <x v="1"/>
    <x v="2"/>
    <x v="1"/>
    <x v="6"/>
    <n v="42"/>
    <n v="5.2"/>
    <n v="7.7"/>
    <s v="Advanced"/>
    <x v="14"/>
    <n v="67.819999999999993"/>
    <n v="8"/>
    <x v="1"/>
    <n v="5"/>
    <s v="Moderate"/>
    <n v="9.1999999999999993"/>
    <x v="0"/>
    <x v="0"/>
  </r>
  <r>
    <x v="142"/>
    <x v="0"/>
    <x v="18"/>
    <x v="7"/>
    <x v="0"/>
    <x v="13"/>
    <x v="3"/>
    <x v="1"/>
    <x v="2"/>
    <n v="116"/>
    <n v="26"/>
    <n v="37.5"/>
    <s v="Expert"/>
    <x v="50"/>
    <n v="107.99"/>
    <n v="8"/>
    <x v="1"/>
    <n v="8"/>
    <s v="Excellent"/>
    <n v="6.3"/>
    <x v="2"/>
    <x v="3"/>
  </r>
  <r>
    <x v="143"/>
    <x v="2"/>
    <x v="11"/>
    <x v="4"/>
    <x v="2"/>
    <x v="13"/>
    <x v="3"/>
    <x v="1"/>
    <x v="7"/>
    <n v="85"/>
    <n v="26"/>
    <n v="51.7"/>
    <s v="Intermediate"/>
    <x v="31"/>
    <n v="145.84"/>
    <n v="8"/>
    <x v="0"/>
    <n v="10"/>
    <s v="Moderate"/>
    <n v="7.6"/>
    <x v="1"/>
    <x v="3"/>
  </r>
  <r>
    <x v="144"/>
    <x v="2"/>
    <x v="14"/>
    <x v="6"/>
    <x v="1"/>
    <x v="5"/>
    <x v="3"/>
    <x v="1"/>
    <x v="2"/>
    <n v="106"/>
    <n v="0"/>
    <n v="46"/>
    <s v="Expert"/>
    <x v="28"/>
    <n v="294.45999999999998"/>
    <n v="9"/>
    <x v="0"/>
    <n v="9"/>
    <s v="Excellent"/>
    <n v="6.1"/>
    <x v="2"/>
    <x v="3"/>
  </r>
  <r>
    <x v="145"/>
    <x v="1"/>
    <x v="9"/>
    <x v="4"/>
    <x v="1"/>
    <x v="7"/>
    <x v="3"/>
    <x v="2"/>
    <x v="3"/>
    <n v="5"/>
    <n v="0.8"/>
    <n v="-5.5"/>
    <s v="Beginner"/>
    <x v="4"/>
    <n v="7.9"/>
    <n v="7"/>
    <x v="2"/>
    <n v="5"/>
    <s v="Low"/>
    <n v="56"/>
    <x v="0"/>
    <x v="1"/>
  </r>
  <r>
    <x v="146"/>
    <x v="2"/>
    <x v="9"/>
    <x v="7"/>
    <x v="1"/>
    <x v="17"/>
    <x v="1"/>
    <x v="3"/>
    <x v="6"/>
    <n v="34"/>
    <n v="6.1"/>
    <n v="8.1999999999999993"/>
    <s v="Intermediate"/>
    <x v="24"/>
    <n v="85.73"/>
    <n v="7"/>
    <x v="0"/>
    <n v="7"/>
    <s v="Excellent"/>
    <n v="6.9"/>
    <x v="0"/>
    <x v="0"/>
  </r>
  <r>
    <x v="147"/>
    <x v="0"/>
    <x v="14"/>
    <x v="5"/>
    <x v="0"/>
    <x v="2"/>
    <x v="2"/>
    <x v="0"/>
    <x v="6"/>
    <n v="27"/>
    <n v="12.8"/>
    <n v="33.4"/>
    <s v="Intermediate"/>
    <x v="38"/>
    <n v="159.26"/>
    <n v="7"/>
    <x v="2"/>
    <n v="6"/>
    <s v="High"/>
    <n v="13.2"/>
    <x v="0"/>
    <x v="3"/>
  </r>
  <r>
    <x v="148"/>
    <x v="0"/>
    <x v="1"/>
    <x v="3"/>
    <x v="1"/>
    <x v="7"/>
    <x v="3"/>
    <x v="0"/>
    <x v="3"/>
    <n v="9"/>
    <n v="2.1"/>
    <n v="-9.3000000000000007"/>
    <s v="Beginner"/>
    <x v="42"/>
    <n v="63.78"/>
    <n v="0"/>
    <x v="0"/>
    <n v="4"/>
    <s v="Moderate"/>
    <n v="8.5"/>
    <x v="0"/>
    <x v="1"/>
  </r>
  <r>
    <x v="149"/>
    <x v="1"/>
    <x v="5"/>
    <x v="6"/>
    <x v="1"/>
    <x v="13"/>
    <x v="1"/>
    <x v="2"/>
    <x v="0"/>
    <n v="5"/>
    <n v="0.7"/>
    <n v="-5.7"/>
    <s v="Beginner"/>
    <x v="11"/>
    <n v="20.72"/>
    <n v="4"/>
    <x v="3"/>
    <n v="4"/>
    <s v="Low"/>
    <n v="11.5"/>
    <x v="3"/>
    <x v="5"/>
  </r>
  <r>
    <x v="150"/>
    <x v="1"/>
    <x v="2"/>
    <x v="9"/>
    <x v="0"/>
    <x v="9"/>
    <x v="1"/>
    <x v="4"/>
    <x v="8"/>
    <n v="0"/>
    <n v="0"/>
    <n v="-2.5"/>
    <s v="Intermediate"/>
    <x v="33"/>
    <n v="0"/>
    <n v="5"/>
    <x v="2"/>
    <n v="4"/>
    <s v="Low"/>
    <m/>
    <x v="2"/>
    <x v="0"/>
  </r>
  <r>
    <x v="151"/>
    <x v="2"/>
    <x v="0"/>
    <x v="5"/>
    <x v="3"/>
    <x v="11"/>
    <x v="0"/>
    <x v="3"/>
    <x v="0"/>
    <n v="11"/>
    <n v="2.7"/>
    <n v="10.6"/>
    <s v="Intermediate"/>
    <x v="33"/>
    <n v="37.33"/>
    <n v="7"/>
    <x v="3"/>
    <n v="5"/>
    <s v="Moderate"/>
    <n v="9.5"/>
    <x v="1"/>
    <x v="5"/>
  </r>
  <r>
    <x v="152"/>
    <x v="2"/>
    <x v="2"/>
    <x v="8"/>
    <x v="2"/>
    <x v="6"/>
    <x v="0"/>
    <x v="0"/>
    <x v="3"/>
    <n v="33"/>
    <n v="12.1"/>
    <n v="6.7"/>
    <s v="Advanced"/>
    <x v="9"/>
    <n v="72.81"/>
    <n v="7"/>
    <x v="2"/>
    <n v="6"/>
    <s v="Excellent"/>
    <n v="7.4"/>
    <x v="1"/>
    <x v="0"/>
  </r>
  <r>
    <x v="153"/>
    <x v="2"/>
    <x v="5"/>
    <x v="4"/>
    <x v="2"/>
    <x v="5"/>
    <x v="3"/>
    <x v="0"/>
    <x v="7"/>
    <n v="83"/>
    <n v="26"/>
    <n v="43.7"/>
    <s v="Expert"/>
    <x v="0"/>
    <n v="157.93"/>
    <n v="10"/>
    <x v="0"/>
    <n v="7"/>
    <s v="Excellent"/>
    <n v="9.6"/>
    <x v="0"/>
    <x v="3"/>
  </r>
  <r>
    <x v="154"/>
    <x v="0"/>
    <x v="1"/>
    <x v="2"/>
    <x v="2"/>
    <x v="0"/>
    <x v="2"/>
    <x v="0"/>
    <x v="6"/>
    <n v="38"/>
    <n v="6.9"/>
    <n v="4.7"/>
    <s v="Intermediate"/>
    <x v="45"/>
    <n v="84.43"/>
    <n v="9"/>
    <x v="0"/>
    <n v="7"/>
    <s v="Moderate"/>
    <n v="9.4"/>
    <x v="2"/>
    <x v="0"/>
  </r>
  <r>
    <x v="155"/>
    <x v="1"/>
    <x v="5"/>
    <x v="6"/>
    <x v="0"/>
    <x v="9"/>
    <x v="2"/>
    <x v="3"/>
    <x v="0"/>
    <n v="11"/>
    <n v="2.2000000000000002"/>
    <n v="7.6"/>
    <s v="Intermediate"/>
    <x v="14"/>
    <n v="52.1"/>
    <n v="4"/>
    <x v="1"/>
    <n v="3"/>
    <s v="Low"/>
    <n v="13.5"/>
    <x v="2"/>
    <x v="1"/>
  </r>
  <r>
    <x v="156"/>
    <x v="0"/>
    <x v="2"/>
    <x v="2"/>
    <x v="2"/>
    <x v="9"/>
    <x v="1"/>
    <x v="2"/>
    <x v="7"/>
    <n v="17"/>
    <n v="3.6"/>
    <n v="13.7"/>
    <s v="Beginner"/>
    <x v="10"/>
    <n v="109.35"/>
    <n v="6"/>
    <x v="2"/>
    <n v="3"/>
    <s v="Low"/>
    <n v="11.9"/>
    <x v="0"/>
    <x v="1"/>
  </r>
  <r>
    <x v="157"/>
    <x v="1"/>
    <x v="10"/>
    <x v="3"/>
    <x v="3"/>
    <x v="7"/>
    <x v="2"/>
    <x v="3"/>
    <x v="3"/>
    <n v="26"/>
    <n v="10.1"/>
    <n v="-8.5"/>
    <s v="Intermediate"/>
    <x v="1"/>
    <n v="16.18"/>
    <n v="4"/>
    <x v="2"/>
    <n v="4"/>
    <s v="Moderate"/>
    <n v="12.8"/>
    <x v="0"/>
    <x v="5"/>
  </r>
  <r>
    <x v="158"/>
    <x v="0"/>
    <x v="8"/>
    <x v="2"/>
    <x v="2"/>
    <x v="10"/>
    <x v="4"/>
    <x v="3"/>
    <x v="3"/>
    <n v="8"/>
    <n v="1.2"/>
    <n v="-3.5"/>
    <s v="Intermediate"/>
    <x v="6"/>
    <n v="25.2"/>
    <n v="6"/>
    <x v="2"/>
    <n v="6"/>
    <s v="Moderate"/>
    <n v="7.6"/>
    <x v="3"/>
    <x v="1"/>
  </r>
  <r>
    <x v="159"/>
    <x v="1"/>
    <x v="8"/>
    <x v="4"/>
    <x v="0"/>
    <x v="8"/>
    <x v="0"/>
    <x v="3"/>
    <x v="6"/>
    <n v="11"/>
    <n v="2.7"/>
    <n v="-18"/>
    <s v="Beginner"/>
    <x v="12"/>
    <n v="46.88"/>
    <n v="6"/>
    <x v="3"/>
    <n v="4"/>
    <s v="Moderate"/>
    <n v="12.3"/>
    <x v="2"/>
    <x v="1"/>
  </r>
  <r>
    <x v="160"/>
    <x v="2"/>
    <x v="1"/>
    <x v="7"/>
    <x v="0"/>
    <x v="1"/>
    <x v="3"/>
    <x v="0"/>
    <x v="1"/>
    <n v="15"/>
    <n v="4.3"/>
    <n v="4.5"/>
    <s v="Advanced"/>
    <x v="0"/>
    <n v="155.93"/>
    <n v="6"/>
    <x v="0"/>
    <n v="6"/>
    <s v="High"/>
    <n v="3.1"/>
    <x v="0"/>
    <x v="0"/>
  </r>
  <r>
    <x v="161"/>
    <x v="0"/>
    <x v="17"/>
    <x v="7"/>
    <x v="2"/>
    <x v="2"/>
    <x v="0"/>
    <x v="3"/>
    <x v="3"/>
    <n v="14"/>
    <n v="1.3"/>
    <n v="-4.5999999999999996"/>
    <s v="Intermediate"/>
    <x v="18"/>
    <n v="3219.23"/>
    <n v="5"/>
    <x v="0"/>
    <n v="3"/>
    <s v="Moderate"/>
    <n v="20.6"/>
    <x v="3"/>
    <x v="5"/>
  </r>
  <r>
    <x v="162"/>
    <x v="2"/>
    <x v="16"/>
    <x v="4"/>
    <x v="3"/>
    <x v="5"/>
    <x v="0"/>
    <x v="0"/>
    <x v="7"/>
    <n v="38"/>
    <n v="4.5"/>
    <n v="-1.1000000000000001"/>
    <s v="Intermediate"/>
    <x v="36"/>
    <n v="201.58"/>
    <n v="3"/>
    <x v="2"/>
    <n v="6"/>
    <s v="Moderate"/>
    <n v="12.2"/>
    <x v="3"/>
    <x v="5"/>
  </r>
  <r>
    <x v="163"/>
    <x v="1"/>
    <x v="14"/>
    <x v="4"/>
    <x v="0"/>
    <x v="3"/>
    <x v="2"/>
    <x v="3"/>
    <x v="0"/>
    <n v="13"/>
    <n v="4.2"/>
    <n v="-13.1"/>
    <s v="Beginner"/>
    <x v="38"/>
    <n v="47.65"/>
    <n v="5"/>
    <x v="1"/>
    <n v="5"/>
    <s v="Low"/>
    <n v="10"/>
    <x v="0"/>
    <x v="1"/>
  </r>
  <r>
    <x v="164"/>
    <x v="2"/>
    <x v="10"/>
    <x v="5"/>
    <x v="2"/>
    <x v="11"/>
    <x v="4"/>
    <x v="0"/>
    <x v="4"/>
    <n v="67"/>
    <n v="12.6"/>
    <n v="27.7"/>
    <s v="Advanced"/>
    <x v="24"/>
    <n v="43.05"/>
    <n v="8"/>
    <x v="2"/>
    <n v="6"/>
    <s v="High"/>
    <n v="6.5"/>
    <x v="2"/>
    <x v="0"/>
  </r>
  <r>
    <x v="165"/>
    <x v="0"/>
    <x v="2"/>
    <x v="6"/>
    <x v="0"/>
    <x v="1"/>
    <x v="0"/>
    <x v="1"/>
    <x v="1"/>
    <n v="38"/>
    <n v="26"/>
    <n v="39.5"/>
    <s v="Expert"/>
    <x v="19"/>
    <n v="171.4"/>
    <n v="7"/>
    <x v="0"/>
    <n v="7"/>
    <s v="High"/>
    <n v="5.9"/>
    <x v="0"/>
    <x v="0"/>
  </r>
  <r>
    <x v="166"/>
    <x v="1"/>
    <x v="14"/>
    <x v="2"/>
    <x v="0"/>
    <x v="13"/>
    <x v="0"/>
    <x v="0"/>
    <x v="2"/>
    <n v="51"/>
    <n v="4.0999999999999996"/>
    <n v="-4.0999999999999996"/>
    <s v="Advanced"/>
    <x v="8"/>
    <n v="193.6"/>
    <n v="8"/>
    <x v="2"/>
    <n v="7"/>
    <s v="High"/>
    <n v="7.2"/>
    <x v="0"/>
    <x v="0"/>
  </r>
  <r>
    <x v="167"/>
    <x v="0"/>
    <x v="11"/>
    <x v="6"/>
    <x v="2"/>
    <x v="5"/>
    <x v="2"/>
    <x v="3"/>
    <x v="2"/>
    <n v="10"/>
    <n v="3.6"/>
    <n v="5"/>
    <s v="Beginner"/>
    <x v="29"/>
    <n v="132.22"/>
    <n v="7"/>
    <x v="2"/>
    <n v="4"/>
    <s v="Moderate"/>
    <n v="6.2"/>
    <x v="3"/>
    <x v="0"/>
  </r>
  <r>
    <x v="168"/>
    <x v="0"/>
    <x v="11"/>
    <x v="6"/>
    <x v="1"/>
    <x v="3"/>
    <x v="3"/>
    <x v="0"/>
    <x v="4"/>
    <n v="14"/>
    <n v="1.6"/>
    <n v="-2.2000000000000002"/>
    <s v="Intermediate"/>
    <x v="32"/>
    <n v="36.700000000000003"/>
    <n v="7"/>
    <x v="2"/>
    <n v="6"/>
    <s v="High"/>
    <n v="7.3"/>
    <x v="3"/>
    <x v="1"/>
  </r>
  <r>
    <x v="169"/>
    <x v="0"/>
    <x v="11"/>
    <x v="0"/>
    <x v="3"/>
    <x v="4"/>
    <x v="3"/>
    <x v="0"/>
    <x v="5"/>
    <n v="35"/>
    <n v="3.8"/>
    <n v="1.3"/>
    <s v="Intermediate"/>
    <x v="13"/>
    <n v="113.05"/>
    <n v="3"/>
    <x v="2"/>
    <n v="0"/>
    <s v="Moderate"/>
    <n v="10.7"/>
    <x v="0"/>
    <x v="5"/>
  </r>
  <r>
    <x v="170"/>
    <x v="0"/>
    <x v="14"/>
    <x v="0"/>
    <x v="0"/>
    <x v="1"/>
    <x v="0"/>
    <x v="0"/>
    <x v="1"/>
    <n v="391"/>
    <n v="0.4"/>
    <n v="9.5"/>
    <s v="Expert"/>
    <x v="33"/>
    <n v="244.38"/>
    <n v="9"/>
    <x v="2"/>
    <n v="7"/>
    <s v="High"/>
    <n v="9.9"/>
    <x v="2"/>
    <x v="0"/>
  </r>
  <r>
    <x v="171"/>
    <x v="2"/>
    <x v="20"/>
    <x v="3"/>
    <x v="3"/>
    <x v="1"/>
    <x v="0"/>
    <x v="3"/>
    <x v="1"/>
    <n v="10"/>
    <n v="5"/>
    <n v="22.4"/>
    <s v="Advanced"/>
    <x v="17"/>
    <n v="58.62"/>
    <n v="9"/>
    <x v="0"/>
    <n v="7"/>
    <s v="Moderate"/>
    <n v="3.5"/>
    <x v="2"/>
    <x v="0"/>
  </r>
  <r>
    <x v="172"/>
    <x v="1"/>
    <x v="5"/>
    <x v="6"/>
    <x v="1"/>
    <x v="1"/>
    <x v="3"/>
    <x v="3"/>
    <x v="1"/>
    <n v="23"/>
    <n v="8.8000000000000007"/>
    <n v="11.4"/>
    <s v="Intermediate"/>
    <x v="31"/>
    <n v="46.47"/>
    <n v="6"/>
    <x v="2"/>
    <n v="8"/>
    <s v="High"/>
    <n v="6.6"/>
    <x v="2"/>
    <x v="0"/>
  </r>
  <r>
    <x v="173"/>
    <x v="0"/>
    <x v="1"/>
    <x v="6"/>
    <x v="0"/>
    <x v="1"/>
    <x v="4"/>
    <x v="1"/>
    <x v="1"/>
    <n v="49"/>
    <n v="23.6"/>
    <n v="36.1"/>
    <s v="Advanced"/>
    <x v="42"/>
    <n v="519.66"/>
    <n v="8"/>
    <x v="1"/>
    <n v="7"/>
    <s v="High"/>
    <n v="7.5"/>
    <x v="3"/>
    <x v="3"/>
  </r>
  <r>
    <x v="174"/>
    <x v="2"/>
    <x v="9"/>
    <x v="6"/>
    <x v="0"/>
    <x v="3"/>
    <x v="3"/>
    <x v="1"/>
    <x v="7"/>
    <n v="56"/>
    <n v="3.2"/>
    <n v="1"/>
    <s v="Beginner"/>
    <x v="19"/>
    <n v="281.87"/>
    <n v="6"/>
    <x v="2"/>
    <n v="5"/>
    <s v="Moderate"/>
    <n v="13.5"/>
    <x v="3"/>
    <x v="1"/>
  </r>
  <r>
    <x v="175"/>
    <x v="0"/>
    <x v="11"/>
    <x v="6"/>
    <x v="2"/>
    <x v="0"/>
    <x v="0"/>
    <x v="3"/>
    <x v="7"/>
    <n v="21"/>
    <n v="8"/>
    <n v="15.7"/>
    <s v="Advanced"/>
    <x v="40"/>
    <n v="73.05"/>
    <n v="7"/>
    <x v="0"/>
    <n v="7"/>
    <s v="Moderate"/>
    <n v="8.4"/>
    <x v="3"/>
    <x v="0"/>
  </r>
  <r>
    <x v="176"/>
    <x v="1"/>
    <x v="0"/>
    <x v="3"/>
    <x v="3"/>
    <x v="2"/>
    <x v="0"/>
    <x v="3"/>
    <x v="3"/>
    <n v="22"/>
    <n v="1.3"/>
    <n v="-6.6"/>
    <s v="Beginner"/>
    <x v="29"/>
    <n v="17.59"/>
    <n v="4"/>
    <x v="3"/>
    <n v="3"/>
    <s v="Low"/>
    <n v="8.6"/>
    <x v="0"/>
    <x v="5"/>
  </r>
  <r>
    <x v="177"/>
    <x v="1"/>
    <x v="4"/>
    <x v="0"/>
    <x v="0"/>
    <x v="7"/>
    <x v="0"/>
    <x v="0"/>
    <x v="3"/>
    <n v="77"/>
    <n v="13.6"/>
    <n v="10.7"/>
    <s v="Expert"/>
    <x v="51"/>
    <n v="63.37"/>
    <n v="7"/>
    <x v="2"/>
    <n v="5"/>
    <s v="High"/>
    <n v="14.1"/>
    <x v="2"/>
    <x v="0"/>
  </r>
  <r>
    <x v="178"/>
    <x v="2"/>
    <x v="11"/>
    <x v="10"/>
    <x v="2"/>
    <x v="13"/>
    <x v="3"/>
    <x v="0"/>
    <x v="7"/>
    <n v="105"/>
    <n v="26"/>
    <n v="42.3"/>
    <s v="Expert"/>
    <x v="52"/>
    <n v="98.23"/>
    <n v="10"/>
    <x v="0"/>
    <n v="8"/>
    <s v="Excellent"/>
    <n v="5.5"/>
    <x v="2"/>
    <x v="3"/>
  </r>
  <r>
    <x v="179"/>
    <x v="2"/>
    <x v="13"/>
    <x v="6"/>
    <x v="2"/>
    <x v="8"/>
    <x v="0"/>
    <x v="0"/>
    <x v="7"/>
    <n v="67"/>
    <n v="9.4"/>
    <n v="23.4"/>
    <s v="Expert"/>
    <x v="28"/>
    <n v="265.99"/>
    <n v="6"/>
    <x v="2"/>
    <n v="7"/>
    <s v="Excellent"/>
    <n v="10.3"/>
    <x v="0"/>
    <x v="1"/>
  </r>
  <r>
    <x v="180"/>
    <x v="0"/>
    <x v="10"/>
    <x v="0"/>
    <x v="0"/>
    <x v="1"/>
    <x v="0"/>
    <x v="0"/>
    <x v="1"/>
    <n v="14"/>
    <n v="10.3"/>
    <n v="19.7"/>
    <s v="Expert"/>
    <x v="53"/>
    <n v="104.53"/>
    <n v="9"/>
    <x v="0"/>
    <n v="5"/>
    <s v="High"/>
    <n v="5.8"/>
    <x v="2"/>
    <x v="3"/>
  </r>
  <r>
    <x v="181"/>
    <x v="0"/>
    <x v="12"/>
    <x v="5"/>
    <x v="3"/>
    <x v="11"/>
    <x v="1"/>
    <x v="3"/>
    <x v="4"/>
    <n v="40"/>
    <n v="5.4"/>
    <n v="-5.4"/>
    <s v="Expert"/>
    <x v="29"/>
    <n v="12.74"/>
    <n v="6"/>
    <x v="0"/>
    <n v="6"/>
    <s v="High"/>
    <n v="6.3"/>
    <x v="3"/>
    <x v="1"/>
  </r>
  <r>
    <x v="182"/>
    <x v="2"/>
    <x v="7"/>
    <x v="9"/>
    <x v="2"/>
    <x v="5"/>
    <x v="1"/>
    <x v="3"/>
    <x v="2"/>
    <n v="26"/>
    <n v="7.7"/>
    <n v="29.5"/>
    <s v="Advanced"/>
    <x v="41"/>
    <n v="99.35"/>
    <n v="5"/>
    <x v="2"/>
    <n v="7"/>
    <s v="High"/>
    <n v="3"/>
    <x v="0"/>
    <x v="0"/>
  </r>
  <r>
    <x v="183"/>
    <x v="0"/>
    <x v="11"/>
    <x v="7"/>
    <x v="0"/>
    <x v="7"/>
    <x v="1"/>
    <x v="4"/>
    <x v="8"/>
    <n v="0"/>
    <n v="0"/>
    <n v="-2.7"/>
    <s v="Beginner"/>
    <x v="4"/>
    <n v="0"/>
    <n v="6"/>
    <x v="0"/>
    <n v="5"/>
    <s v="Low"/>
    <m/>
    <x v="0"/>
    <x v="0"/>
  </r>
  <r>
    <x v="184"/>
    <x v="0"/>
    <x v="9"/>
    <x v="0"/>
    <x v="3"/>
    <x v="4"/>
    <x v="4"/>
    <x v="0"/>
    <x v="5"/>
    <n v="29"/>
    <n v="4.5"/>
    <n v="14.6"/>
    <s v="Intermediate"/>
    <x v="14"/>
    <n v="64.12"/>
    <n v="7"/>
    <x v="2"/>
    <n v="4"/>
    <s v="High"/>
    <n v="11.9"/>
    <x v="3"/>
    <x v="1"/>
  </r>
  <r>
    <x v="185"/>
    <x v="0"/>
    <x v="18"/>
    <x v="0"/>
    <x v="1"/>
    <x v="4"/>
    <x v="3"/>
    <x v="2"/>
    <x v="5"/>
    <n v="6"/>
    <n v="2.1"/>
    <n v="6.4"/>
    <s v="Intermediate"/>
    <x v="11"/>
    <n v="16.55"/>
    <n v="6"/>
    <x v="2"/>
    <n v="6"/>
    <s v="Moderate"/>
    <n v="16.7"/>
    <x v="3"/>
    <x v="1"/>
  </r>
  <r>
    <x v="186"/>
    <x v="2"/>
    <x v="2"/>
    <x v="0"/>
    <x v="1"/>
    <x v="6"/>
    <x v="0"/>
    <x v="0"/>
    <x v="3"/>
    <n v="59"/>
    <n v="16"/>
    <n v="26.4"/>
    <s v="Advanced"/>
    <x v="38"/>
    <n v="42.37"/>
    <n v="7"/>
    <x v="3"/>
    <n v="6"/>
    <s v="Moderate"/>
    <n v="9"/>
    <x v="0"/>
    <x v="1"/>
  </r>
  <r>
    <x v="187"/>
    <x v="2"/>
    <x v="5"/>
    <x v="5"/>
    <x v="1"/>
    <x v="12"/>
    <x v="3"/>
    <x v="3"/>
    <x v="0"/>
    <n v="19"/>
    <n v="2.9"/>
    <n v="8.6999999999999993"/>
    <s v="Intermediate"/>
    <x v="23"/>
    <n v="18.05"/>
    <n v="8"/>
    <x v="0"/>
    <n v="5"/>
    <s v="High"/>
    <n v="16.3"/>
    <x v="0"/>
    <x v="0"/>
  </r>
  <r>
    <x v="188"/>
    <x v="1"/>
    <x v="14"/>
    <x v="9"/>
    <x v="3"/>
    <x v="9"/>
    <x v="0"/>
    <x v="2"/>
    <x v="3"/>
    <n v="0"/>
    <n v="0.7"/>
    <n v="-3.9"/>
    <s v="Beginner"/>
    <x v="4"/>
    <n v="14.48"/>
    <n v="5"/>
    <x v="2"/>
    <n v="4"/>
    <s v="Low"/>
    <n v="8.6999999999999993"/>
    <x v="2"/>
    <x v="1"/>
  </r>
  <r>
    <x v="189"/>
    <x v="2"/>
    <x v="12"/>
    <x v="9"/>
    <x v="1"/>
    <x v="3"/>
    <x v="3"/>
    <x v="3"/>
    <x v="4"/>
    <n v="18"/>
    <n v="2.6"/>
    <n v="-10"/>
    <s v="Intermediate"/>
    <x v="11"/>
    <n v="43.57"/>
    <n v="7"/>
    <x v="2"/>
    <n v="4"/>
    <s v="Moderate"/>
    <n v="11.5"/>
    <x v="3"/>
    <x v="0"/>
  </r>
  <r>
    <x v="190"/>
    <x v="1"/>
    <x v="9"/>
    <x v="0"/>
    <x v="0"/>
    <x v="5"/>
    <x v="3"/>
    <x v="3"/>
    <x v="2"/>
    <n v="12"/>
    <n v="2.6"/>
    <n v="12.1"/>
    <s v="Intermediate"/>
    <x v="39"/>
    <n v="62.77"/>
    <n v="9"/>
    <x v="2"/>
    <n v="5"/>
    <s v="Moderate"/>
    <n v="5"/>
    <x v="2"/>
    <x v="0"/>
  </r>
  <r>
    <x v="191"/>
    <x v="0"/>
    <x v="2"/>
    <x v="4"/>
    <x v="3"/>
    <x v="4"/>
    <x v="1"/>
    <x v="2"/>
    <x v="5"/>
    <n v="6"/>
    <n v="1.4"/>
    <n v="2.8"/>
    <s v="Intermediate"/>
    <x v="12"/>
    <n v="22.11"/>
    <n v="4"/>
    <x v="3"/>
    <n v="5"/>
    <s v="Moderate"/>
    <n v="11.2"/>
    <x v="3"/>
    <x v="1"/>
  </r>
  <r>
    <x v="192"/>
    <x v="1"/>
    <x v="2"/>
    <x v="5"/>
    <x v="1"/>
    <x v="10"/>
    <x v="3"/>
    <x v="2"/>
    <x v="3"/>
    <n v="6"/>
    <n v="1.9"/>
    <n v="7.6"/>
    <s v="Beginner"/>
    <x v="11"/>
    <n v="15.7"/>
    <n v="6"/>
    <x v="0"/>
    <n v="3"/>
    <s v="Low"/>
    <n v="14.5"/>
    <x v="3"/>
    <x v="1"/>
  </r>
  <r>
    <x v="193"/>
    <x v="1"/>
    <x v="18"/>
    <x v="8"/>
    <x v="3"/>
    <x v="1"/>
    <x v="1"/>
    <x v="2"/>
    <x v="1"/>
    <n v="3"/>
    <n v="0.7"/>
    <n v="1.7"/>
    <s v="Intermediate"/>
    <x v="14"/>
    <n v="21.31"/>
    <n v="7"/>
    <x v="2"/>
    <n v="4"/>
    <s v="Low"/>
    <n v="6.1"/>
    <x v="0"/>
    <x v="0"/>
  </r>
  <r>
    <x v="194"/>
    <x v="2"/>
    <x v="5"/>
    <x v="6"/>
    <x v="1"/>
    <x v="10"/>
    <x v="3"/>
    <x v="1"/>
    <x v="7"/>
    <n v="107"/>
    <n v="12.7"/>
    <n v="13.1"/>
    <s v="Advanced"/>
    <x v="38"/>
    <n v="156.27000000000001"/>
    <n v="6"/>
    <x v="0"/>
    <n v="7"/>
    <s v="Excellent"/>
    <n v="11.2"/>
    <x v="0"/>
    <x v="0"/>
  </r>
  <r>
    <x v="195"/>
    <x v="2"/>
    <x v="11"/>
    <x v="6"/>
    <x v="0"/>
    <x v="8"/>
    <x v="0"/>
    <x v="1"/>
    <x v="7"/>
    <n v="74"/>
    <n v="22.7"/>
    <n v="43.7"/>
    <s v="Advanced"/>
    <x v="28"/>
    <n v="167.16"/>
    <n v="8"/>
    <x v="0"/>
    <n v="6"/>
    <s v="High"/>
    <n v="7.8"/>
    <x v="2"/>
    <x v="3"/>
  </r>
  <r>
    <x v="196"/>
    <x v="2"/>
    <x v="16"/>
    <x v="12"/>
    <x v="7"/>
    <x v="7"/>
    <x v="3"/>
    <x v="0"/>
    <x v="2"/>
    <n v="89"/>
    <n v="15.3"/>
    <n v="45.1"/>
    <s v="Expert"/>
    <x v="31"/>
    <n v="128.18"/>
    <n v="10"/>
    <x v="2"/>
    <n v="7"/>
    <s v="High"/>
    <n v="7.7"/>
    <x v="2"/>
    <x v="3"/>
  </r>
  <r>
    <x v="197"/>
    <x v="1"/>
    <x v="5"/>
    <x v="8"/>
    <x v="2"/>
    <x v="6"/>
    <x v="3"/>
    <x v="0"/>
    <x v="3"/>
    <n v="34"/>
    <n v="2.5"/>
    <n v="7.2"/>
    <s v="Intermediate"/>
    <x v="38"/>
    <n v="76.17"/>
    <n v="4"/>
    <x v="3"/>
    <n v="6"/>
    <s v="Moderate"/>
    <n v="8.5"/>
    <x v="0"/>
    <x v="1"/>
  </r>
  <r>
    <x v="198"/>
    <x v="2"/>
    <x v="5"/>
    <x v="7"/>
    <x v="0"/>
    <x v="6"/>
    <x v="3"/>
    <x v="3"/>
    <x v="7"/>
    <n v="28"/>
    <n v="14.1"/>
    <n v="17.600000000000001"/>
    <s v="Expert"/>
    <x v="54"/>
    <n v="124.46"/>
    <n v="0"/>
    <x v="0"/>
    <n v="5"/>
    <s v="Excellent"/>
    <n v="7"/>
    <x v="0"/>
    <x v="3"/>
  </r>
  <r>
    <x v="199"/>
    <x v="2"/>
    <x v="10"/>
    <x v="8"/>
    <x v="0"/>
    <x v="1"/>
    <x v="3"/>
    <x v="0"/>
    <x v="7"/>
    <n v="65"/>
    <n v="22.4"/>
    <n v="18.8"/>
    <s v="Expert"/>
    <x v="42"/>
    <n v="185.99"/>
    <n v="9"/>
    <x v="0"/>
    <n v="6"/>
    <s v="High"/>
    <n v="5.5"/>
    <x v="2"/>
    <x v="3"/>
  </r>
  <r>
    <x v="200"/>
    <x v="1"/>
    <x v="3"/>
    <x v="4"/>
    <x v="3"/>
    <x v="5"/>
    <x v="3"/>
    <x v="3"/>
    <x v="6"/>
    <n v="6"/>
    <n v="2.4"/>
    <n v="-0.9"/>
    <s v="Beginner"/>
    <x v="4"/>
    <n v="24.13"/>
    <n v="7"/>
    <x v="0"/>
    <n v="3"/>
    <s v="Low"/>
    <n v="14.9"/>
    <x v="2"/>
    <x v="1"/>
  </r>
  <r>
    <x v="201"/>
    <x v="2"/>
    <x v="5"/>
    <x v="5"/>
    <x v="1"/>
    <x v="10"/>
    <x v="3"/>
    <x v="1"/>
    <x v="3"/>
    <n v="63"/>
    <n v="19.7"/>
    <n v="25.8"/>
    <s v="Advanced"/>
    <x v="17"/>
    <n v="96.87"/>
    <n v="4"/>
    <x v="2"/>
    <n v="4"/>
    <s v="High"/>
    <n v="11.7"/>
    <x v="1"/>
    <x v="1"/>
  </r>
  <r>
    <x v="202"/>
    <x v="2"/>
    <x v="5"/>
    <x v="7"/>
    <x v="0"/>
    <x v="2"/>
    <x v="3"/>
    <x v="1"/>
    <x v="6"/>
    <n v="32"/>
    <n v="6.4"/>
    <n v="9.1"/>
    <s v="Advanced"/>
    <x v="31"/>
    <n v="109.14"/>
    <n v="0"/>
    <x v="3"/>
    <n v="5"/>
    <s v="High"/>
    <n v="9.5"/>
    <x v="1"/>
    <x v="5"/>
  </r>
  <r>
    <x v="203"/>
    <x v="2"/>
    <x v="9"/>
    <x v="4"/>
    <x v="2"/>
    <x v="4"/>
    <x v="3"/>
    <x v="3"/>
    <x v="5"/>
    <n v="12"/>
    <n v="2.4"/>
    <n v="3.6"/>
    <s v="Advanced"/>
    <x v="55"/>
    <n v="30.79"/>
    <n v="9"/>
    <x v="0"/>
    <n v="6"/>
    <s v="Excellent"/>
    <n v="6.6"/>
    <x v="2"/>
    <x v="3"/>
  </r>
  <r>
    <x v="204"/>
    <x v="2"/>
    <x v="5"/>
    <x v="6"/>
    <x v="1"/>
    <x v="18"/>
    <x v="1"/>
    <x v="1"/>
    <x v="7"/>
    <n v="51"/>
    <n v="18.5"/>
    <n v="30.7"/>
    <s v="Expert"/>
    <x v="55"/>
    <n v="296.42"/>
    <n v="9"/>
    <x v="1"/>
    <n v="6"/>
    <s v="Excellent"/>
    <n v="5.5"/>
    <x v="3"/>
    <x v="3"/>
  </r>
  <r>
    <x v="205"/>
    <x v="2"/>
    <x v="2"/>
    <x v="8"/>
    <x v="0"/>
    <x v="10"/>
    <x v="0"/>
    <x v="3"/>
    <x v="3"/>
    <n v="14"/>
    <n v="5.5"/>
    <n v="19.399999999999999"/>
    <s v="Advanced"/>
    <x v="45"/>
    <n v="44.16"/>
    <n v="6"/>
    <x v="3"/>
    <n v="3"/>
    <s v="Moderate"/>
    <n v="11.6"/>
    <x v="0"/>
    <x v="1"/>
  </r>
  <r>
    <x v="206"/>
    <x v="2"/>
    <x v="1"/>
    <x v="5"/>
    <x v="0"/>
    <x v="2"/>
    <x v="0"/>
    <x v="0"/>
    <x v="6"/>
    <n v="22"/>
    <n v="4.4000000000000004"/>
    <n v="15.8"/>
    <s v="Expert"/>
    <x v="56"/>
    <n v="124.11"/>
    <n v="6"/>
    <x v="2"/>
    <n v="9"/>
    <s v="Excellent"/>
    <n v="5"/>
    <x v="0"/>
    <x v="0"/>
  </r>
  <r>
    <x v="207"/>
    <x v="1"/>
    <x v="3"/>
    <x v="6"/>
    <x v="3"/>
    <x v="1"/>
    <x v="0"/>
    <x v="0"/>
    <x v="1"/>
    <n v="22"/>
    <n v="4.3"/>
    <n v="12.4"/>
    <s v="Intermediate"/>
    <x v="11"/>
    <n v="58.77"/>
    <n v="6"/>
    <x v="0"/>
    <n v="4"/>
    <s v="Moderate"/>
    <n v="9"/>
    <x v="0"/>
    <x v="1"/>
  </r>
  <r>
    <x v="208"/>
    <x v="0"/>
    <x v="18"/>
    <x v="3"/>
    <x v="2"/>
    <x v="8"/>
    <x v="3"/>
    <x v="0"/>
    <x v="0"/>
    <n v="37"/>
    <n v="2.8"/>
    <n v="-7.6"/>
    <s v="Beginner"/>
    <x v="4"/>
    <n v="131.43"/>
    <n v="6"/>
    <x v="3"/>
    <n v="6"/>
    <s v="Moderate"/>
    <n v="9.5"/>
    <x v="0"/>
    <x v="1"/>
  </r>
  <r>
    <x v="209"/>
    <x v="2"/>
    <x v="1"/>
    <x v="1"/>
    <x v="0"/>
    <x v="1"/>
    <x v="3"/>
    <x v="3"/>
    <x v="7"/>
    <n v="28"/>
    <n v="14.7"/>
    <n v="32.9"/>
    <s v="Expert"/>
    <x v="57"/>
    <n v="127.91"/>
    <n v="10"/>
    <x v="1"/>
    <n v="6"/>
    <s v="Moderate"/>
    <n v="8.1"/>
    <x v="2"/>
    <x v="3"/>
  </r>
  <r>
    <x v="210"/>
    <x v="2"/>
    <x v="2"/>
    <x v="4"/>
    <x v="3"/>
    <x v="12"/>
    <x v="0"/>
    <x v="3"/>
    <x v="4"/>
    <n v="24"/>
    <n v="2.1"/>
    <n v="15.2"/>
    <s v="Beginner"/>
    <x v="33"/>
    <n v="28.41"/>
    <n v="6"/>
    <x v="2"/>
    <n v="5"/>
    <s v="Low"/>
    <n v="7.8"/>
    <x v="0"/>
    <x v="0"/>
  </r>
  <r>
    <x v="211"/>
    <x v="0"/>
    <x v="5"/>
    <x v="0"/>
    <x v="0"/>
    <x v="7"/>
    <x v="1"/>
    <x v="0"/>
    <x v="7"/>
    <n v="76"/>
    <n v="22.3"/>
    <n v="22.7"/>
    <s v="Beginner"/>
    <x v="4"/>
    <n v="253.83"/>
    <n v="5"/>
    <x v="0"/>
    <n v="4"/>
    <s v="Low"/>
    <n v="14.4"/>
    <x v="0"/>
    <x v="0"/>
  </r>
  <r>
    <x v="212"/>
    <x v="2"/>
    <x v="13"/>
    <x v="6"/>
    <x v="3"/>
    <x v="9"/>
    <x v="3"/>
    <x v="1"/>
    <x v="4"/>
    <n v="33"/>
    <n v="18.5"/>
    <n v="7"/>
    <s v="Intermediate"/>
    <x v="36"/>
    <n v="54.61"/>
    <n v="9"/>
    <x v="1"/>
    <n v="7"/>
    <s v="High"/>
    <n v="5.7"/>
    <x v="0"/>
    <x v="3"/>
  </r>
  <r>
    <x v="213"/>
    <x v="1"/>
    <x v="0"/>
    <x v="3"/>
    <x v="2"/>
    <x v="0"/>
    <x v="0"/>
    <x v="3"/>
    <x v="3"/>
    <n v="19"/>
    <n v="3.3"/>
    <n v="1.6"/>
    <s v="Beginner"/>
    <x v="24"/>
    <n v="21.75"/>
    <n v="7"/>
    <x v="2"/>
    <n v="5"/>
    <s v="Low"/>
    <n v="6.1"/>
    <x v="2"/>
    <x v="0"/>
  </r>
  <r>
    <x v="214"/>
    <x v="1"/>
    <x v="9"/>
    <x v="6"/>
    <x v="1"/>
    <x v="2"/>
    <x v="3"/>
    <x v="2"/>
    <x v="0"/>
    <n v="7"/>
    <n v="1.7"/>
    <n v="2.7"/>
    <s v="Beginner"/>
    <x v="6"/>
    <n v="15.31"/>
    <n v="7"/>
    <x v="2"/>
    <n v="4"/>
    <s v="Low"/>
    <n v="18.399999999999999"/>
    <x v="2"/>
    <x v="1"/>
  </r>
  <r>
    <x v="215"/>
    <x v="0"/>
    <x v="14"/>
    <x v="3"/>
    <x v="1"/>
    <x v="13"/>
    <x v="3"/>
    <x v="2"/>
    <x v="2"/>
    <n v="7"/>
    <n v="2.7"/>
    <n v="10.8"/>
    <s v="Intermediate"/>
    <x v="14"/>
    <n v="30.22"/>
    <n v="6"/>
    <x v="0"/>
    <n v="5"/>
    <s v="Moderate"/>
    <n v="7.3"/>
    <x v="2"/>
    <x v="3"/>
  </r>
  <r>
    <x v="216"/>
    <x v="1"/>
    <x v="16"/>
    <x v="7"/>
    <x v="1"/>
    <x v="1"/>
    <x v="1"/>
    <x v="3"/>
    <x v="1"/>
    <n v="4"/>
    <n v="1.7"/>
    <n v="-5.5"/>
    <s v="Beginner"/>
    <x v="14"/>
    <n v="56.09"/>
    <n v="6"/>
    <x v="0"/>
    <n v="4"/>
    <s v="Moderate"/>
    <n v="7.8"/>
    <x v="1"/>
    <x v="5"/>
  </r>
  <r>
    <x v="217"/>
    <x v="2"/>
    <x v="12"/>
    <x v="6"/>
    <x v="0"/>
    <x v="5"/>
    <x v="1"/>
    <x v="1"/>
    <x v="2"/>
    <n v="115"/>
    <n v="26"/>
    <n v="30.2"/>
    <s v="Expert"/>
    <x v="12"/>
    <n v="130.30000000000001"/>
    <n v="8"/>
    <x v="2"/>
    <n v="9"/>
    <s v="Excellent"/>
    <m/>
    <x v="2"/>
    <x v="3"/>
  </r>
  <r>
    <x v="218"/>
    <x v="1"/>
    <x v="8"/>
    <x v="6"/>
    <x v="0"/>
    <x v="13"/>
    <x v="0"/>
    <x v="0"/>
    <x v="1"/>
    <n v="26"/>
    <n v="5.2"/>
    <n v="12.6"/>
    <s v="Advanced"/>
    <x v="41"/>
    <n v="116.24"/>
    <n v="9"/>
    <x v="2"/>
    <n v="4"/>
    <s v="Low"/>
    <n v="16.100000000000001"/>
    <x v="2"/>
    <x v="3"/>
  </r>
  <r>
    <x v="219"/>
    <x v="0"/>
    <x v="12"/>
    <x v="2"/>
    <x v="2"/>
    <x v="0"/>
    <x v="0"/>
    <x v="3"/>
    <x v="7"/>
    <n v="12"/>
    <n v="3.4"/>
    <n v="-11"/>
    <s v="Intermediate"/>
    <x v="30"/>
    <n v="81.069999999999993"/>
    <n v="7"/>
    <x v="2"/>
    <n v="5"/>
    <s v="Moderate"/>
    <n v="8.8000000000000007"/>
    <x v="0"/>
    <x v="1"/>
  </r>
  <r>
    <x v="220"/>
    <x v="2"/>
    <x v="5"/>
    <x v="5"/>
    <x v="2"/>
    <x v="3"/>
    <x v="0"/>
    <x v="1"/>
    <x v="0"/>
    <n v="92"/>
    <n v="8.8000000000000007"/>
    <n v="11.6"/>
    <s v="Intermediate"/>
    <x v="0"/>
    <n v="126.94"/>
    <n v="7"/>
    <x v="1"/>
    <n v="7"/>
    <s v="High"/>
    <n v="10.8"/>
    <x v="3"/>
    <x v="0"/>
  </r>
  <r>
    <x v="221"/>
    <x v="0"/>
    <x v="1"/>
    <x v="3"/>
    <x v="0"/>
    <x v="10"/>
    <x v="1"/>
    <x v="3"/>
    <x v="7"/>
    <n v="30"/>
    <n v="6"/>
    <n v="-0.6"/>
    <s v="Intermediate"/>
    <x v="25"/>
    <n v="111.07"/>
    <n v="6"/>
    <x v="2"/>
    <n v="6"/>
    <s v="Moderate"/>
    <n v="8.1"/>
    <x v="3"/>
    <x v="5"/>
  </r>
  <r>
    <x v="222"/>
    <x v="0"/>
    <x v="5"/>
    <x v="3"/>
    <x v="1"/>
    <x v="1"/>
    <x v="3"/>
    <x v="1"/>
    <x v="7"/>
    <n v="66"/>
    <n v="11"/>
    <n v="3.9"/>
    <s v="Advanced"/>
    <x v="58"/>
    <n v="187.4"/>
    <n v="7"/>
    <x v="1"/>
    <n v="5"/>
    <s v="Moderate"/>
    <n v="9.4"/>
    <x v="2"/>
    <x v="0"/>
  </r>
  <r>
    <x v="223"/>
    <x v="2"/>
    <x v="9"/>
    <x v="5"/>
    <x v="0"/>
    <x v="9"/>
    <x v="0"/>
    <x v="3"/>
    <x v="7"/>
    <n v="19"/>
    <n v="4.7"/>
    <n v="19.899999999999999"/>
    <s v="Intermediate"/>
    <x v="10"/>
    <n v="116.08"/>
    <n v="8"/>
    <x v="0"/>
    <n v="7"/>
    <s v="High"/>
    <n v="5.7"/>
    <x v="0"/>
    <x v="3"/>
  </r>
  <r>
    <x v="224"/>
    <x v="2"/>
    <x v="8"/>
    <x v="0"/>
    <x v="0"/>
    <x v="4"/>
    <x v="3"/>
    <x v="0"/>
    <x v="5"/>
    <n v="49"/>
    <n v="2.8"/>
    <n v="24.7"/>
    <s v="Expert"/>
    <x v="47"/>
    <n v="197.38"/>
    <n v="6"/>
    <x v="0"/>
    <n v="6"/>
    <s v="Excellent"/>
    <n v="5.2"/>
    <x v="0"/>
    <x v="3"/>
  </r>
  <r>
    <x v="225"/>
    <x v="2"/>
    <x v="7"/>
    <x v="4"/>
    <x v="1"/>
    <x v="5"/>
    <x v="1"/>
    <x v="3"/>
    <x v="7"/>
    <n v="33"/>
    <n v="11.3"/>
    <n v="1.7"/>
    <s v="Beginner"/>
    <x v="33"/>
    <n v="100.8"/>
    <n v="8"/>
    <x v="1"/>
    <n v="4"/>
    <s v="Moderate"/>
    <n v="7.2"/>
    <x v="1"/>
    <x v="1"/>
  </r>
  <r>
    <x v="226"/>
    <x v="2"/>
    <x v="4"/>
    <x v="10"/>
    <x v="0"/>
    <x v="13"/>
    <x v="0"/>
    <x v="3"/>
    <x v="7"/>
    <n v="37"/>
    <n v="6.2"/>
    <n v="19.399999999999999"/>
    <s v="Advanced"/>
    <x v="0"/>
    <n v="143.08000000000001"/>
    <n v="5"/>
    <x v="0"/>
    <n v="5"/>
    <s v="Moderate"/>
    <n v="8.6"/>
    <x v="0"/>
    <x v="3"/>
  </r>
  <r>
    <x v="227"/>
    <x v="0"/>
    <x v="3"/>
    <x v="3"/>
    <x v="3"/>
    <x v="13"/>
    <x v="0"/>
    <x v="3"/>
    <x v="0"/>
    <n v="15"/>
    <n v="2.4"/>
    <n v="13.5"/>
    <s v="Intermediate"/>
    <x v="24"/>
    <n v="72.930000000000007"/>
    <n v="6"/>
    <x v="3"/>
    <n v="4"/>
    <s v="Moderate"/>
    <n v="10.9"/>
    <x v="3"/>
    <x v="1"/>
  </r>
  <r>
    <x v="228"/>
    <x v="1"/>
    <x v="2"/>
    <x v="7"/>
    <x v="2"/>
    <x v="5"/>
    <x v="3"/>
    <x v="2"/>
    <x v="10"/>
    <n v="7"/>
    <n v="2.7"/>
    <n v="-7"/>
    <s v="Intermediate"/>
    <x v="25"/>
    <n v="22.65"/>
    <n v="4"/>
    <x v="0"/>
    <n v="5"/>
    <s v="Moderate"/>
    <n v="4.7"/>
    <x v="2"/>
    <x v="5"/>
  </r>
  <r>
    <x v="229"/>
    <x v="2"/>
    <x v="9"/>
    <x v="7"/>
    <x v="2"/>
    <x v="4"/>
    <x v="3"/>
    <x v="0"/>
    <x v="5"/>
    <n v="27"/>
    <n v="1.8"/>
    <n v="11.5"/>
    <s v="Advanced"/>
    <x v="40"/>
    <n v="38.01"/>
    <n v="6"/>
    <x v="0"/>
    <n v="6"/>
    <s v="High"/>
    <n v="5.2"/>
    <x v="2"/>
    <x v="3"/>
  </r>
  <r>
    <x v="230"/>
    <x v="2"/>
    <x v="5"/>
    <x v="9"/>
    <x v="3"/>
    <x v="2"/>
    <x v="1"/>
    <x v="0"/>
    <x v="7"/>
    <n v="40"/>
    <n v="6"/>
    <n v="-3.7"/>
    <s v="Intermediate"/>
    <x v="30"/>
    <n v="67.11"/>
    <n v="7"/>
    <x v="2"/>
    <n v="4"/>
    <s v="Moderate"/>
    <n v="22.8"/>
    <x v="3"/>
    <x v="5"/>
  </r>
  <r>
    <x v="231"/>
    <x v="2"/>
    <x v="3"/>
    <x v="8"/>
    <x v="2"/>
    <x v="13"/>
    <x v="3"/>
    <x v="0"/>
    <x v="6"/>
    <n v="20"/>
    <n v="2.2000000000000002"/>
    <n v="5.9"/>
    <s v="Advanced"/>
    <x v="59"/>
    <n v="62.65"/>
    <n v="8"/>
    <x v="3"/>
    <n v="5"/>
    <s v="High"/>
    <n v="7.4"/>
    <x v="0"/>
    <x v="1"/>
  </r>
  <r>
    <x v="232"/>
    <x v="0"/>
    <x v="9"/>
    <x v="1"/>
    <x v="1"/>
    <x v="1"/>
    <x v="0"/>
    <x v="0"/>
    <x v="1"/>
    <n v="29"/>
    <n v="5.5"/>
    <n v="-11"/>
    <s v="Intermediate"/>
    <x v="11"/>
    <n v="63.23"/>
    <n v="5"/>
    <x v="0"/>
    <n v="6"/>
    <s v="Moderate"/>
    <n v="10"/>
    <x v="0"/>
    <x v="1"/>
  </r>
  <r>
    <x v="233"/>
    <x v="2"/>
    <x v="2"/>
    <x v="6"/>
    <x v="3"/>
    <x v="13"/>
    <x v="1"/>
    <x v="0"/>
    <x v="1"/>
    <n v="38"/>
    <n v="7.4"/>
    <n v="1.2"/>
    <s v="Intermediate"/>
    <x v="41"/>
    <n v="209.67"/>
    <n v="7"/>
    <x v="0"/>
    <n v="5"/>
    <s v="Moderate"/>
    <n v="8.3000000000000007"/>
    <x v="0"/>
    <x v="1"/>
  </r>
  <r>
    <x v="234"/>
    <x v="2"/>
    <x v="18"/>
    <x v="0"/>
    <x v="1"/>
    <x v="12"/>
    <x v="0"/>
    <x v="1"/>
    <x v="4"/>
    <n v="89"/>
    <n v="5.2"/>
    <n v="10.8"/>
    <s v="Intermediate"/>
    <x v="1"/>
    <n v="60.53"/>
    <n v="5"/>
    <x v="3"/>
    <n v="6"/>
    <s v="High"/>
    <n v="3"/>
    <x v="1"/>
    <x v="1"/>
  </r>
  <r>
    <x v="235"/>
    <x v="0"/>
    <x v="0"/>
    <x v="2"/>
    <x v="1"/>
    <x v="10"/>
    <x v="3"/>
    <x v="0"/>
    <x v="3"/>
    <n v="28"/>
    <n v="8.9"/>
    <n v="21.2"/>
    <s v="Advanced"/>
    <x v="42"/>
    <n v="56.63"/>
    <n v="5"/>
    <x v="2"/>
    <n v="11"/>
    <s v="High"/>
    <n v="8.6"/>
    <x v="3"/>
    <x v="0"/>
  </r>
  <r>
    <x v="236"/>
    <x v="2"/>
    <x v="14"/>
    <x v="5"/>
    <x v="2"/>
    <x v="13"/>
    <x v="1"/>
    <x v="1"/>
    <x v="2"/>
    <n v="144"/>
    <n v="23.7"/>
    <n v="26.6"/>
    <s v="Expert"/>
    <x v="60"/>
    <n v="51.84"/>
    <n v="8"/>
    <x v="2"/>
    <n v="8"/>
    <s v="Excellent"/>
    <n v="3.1"/>
    <x v="2"/>
    <x v="3"/>
  </r>
  <r>
    <x v="237"/>
    <x v="1"/>
    <x v="8"/>
    <x v="6"/>
    <x v="0"/>
    <x v="5"/>
    <x v="0"/>
    <x v="0"/>
    <x v="2"/>
    <n v="16"/>
    <n v="2.8"/>
    <n v="14"/>
    <s v="Intermediate"/>
    <x v="29"/>
    <n v="83.6"/>
    <n v="8"/>
    <x v="0"/>
    <n v="5"/>
    <s v="Moderate"/>
    <n v="5"/>
    <x v="2"/>
    <x v="3"/>
  </r>
  <r>
    <x v="238"/>
    <x v="2"/>
    <x v="14"/>
    <x v="10"/>
    <x v="1"/>
    <x v="10"/>
    <x v="0"/>
    <x v="3"/>
    <x v="3"/>
    <n v="14"/>
    <n v="2.6"/>
    <n v="-1"/>
    <s v="Beginner"/>
    <x v="16"/>
    <n v="27.26"/>
    <n v="6"/>
    <x v="3"/>
    <n v="6"/>
    <s v="Moderate"/>
    <n v="16.5"/>
    <x v="3"/>
    <x v="1"/>
  </r>
  <r>
    <x v="239"/>
    <x v="0"/>
    <x v="11"/>
    <x v="6"/>
    <x v="3"/>
    <x v="1"/>
    <x v="1"/>
    <x v="2"/>
    <x v="1"/>
    <n v="3"/>
    <n v="2.2000000000000002"/>
    <n v="-7.3"/>
    <s v="Intermediate"/>
    <x v="2"/>
    <n v="19.09"/>
    <n v="4"/>
    <x v="3"/>
    <n v="6"/>
    <s v="Moderate"/>
    <n v="9.8000000000000007"/>
    <x v="0"/>
    <x v="5"/>
  </r>
  <r>
    <x v="240"/>
    <x v="0"/>
    <x v="12"/>
    <x v="10"/>
    <x v="0"/>
    <x v="3"/>
    <x v="3"/>
    <x v="3"/>
    <x v="11"/>
    <n v="24"/>
    <n v="12.8"/>
    <n v="6.1"/>
    <s v="Adv."/>
    <x v="30"/>
    <n v="25.04"/>
    <n v="7"/>
    <x v="1"/>
    <n v="7"/>
    <s v="High"/>
    <n v="7.4"/>
    <x v="0"/>
    <x v="0"/>
  </r>
  <r>
    <x v="241"/>
    <x v="1"/>
    <x v="3"/>
    <x v="1"/>
    <x v="0"/>
    <x v="12"/>
    <x v="0"/>
    <x v="2"/>
    <x v="4"/>
    <n v="17"/>
    <n v="2.6"/>
    <n v="14.9"/>
    <s v="Intermediate"/>
    <x v="25"/>
    <n v="17.05"/>
    <n v="7"/>
    <x v="0"/>
    <n v="5"/>
    <s v="Moderate"/>
    <n v="9.9"/>
    <x v="2"/>
    <x v="3"/>
  </r>
  <r>
    <x v="242"/>
    <x v="2"/>
    <x v="2"/>
    <x v="8"/>
    <x v="3"/>
    <x v="3"/>
    <x v="1"/>
    <x v="1"/>
    <x v="0"/>
    <n v="87"/>
    <n v="26"/>
    <n v="37"/>
    <s v="Intermediate"/>
    <x v="7"/>
    <n v="64.25"/>
    <n v="10"/>
    <x v="1"/>
    <n v="7"/>
    <s v="Excellent"/>
    <n v="10.199999999999999"/>
    <x v="3"/>
    <x v="3"/>
  </r>
  <r>
    <x v="243"/>
    <x v="0"/>
    <x v="7"/>
    <x v="2"/>
    <x v="3"/>
    <x v="7"/>
    <x v="2"/>
    <x v="3"/>
    <x v="7"/>
    <n v="15"/>
    <n v="1.8"/>
    <n v="4.7"/>
    <n v="0"/>
    <x v="4"/>
    <n v="61.55"/>
    <n v="5"/>
    <x v="0"/>
    <n v="5"/>
    <s v="Low"/>
    <n v="8.3000000000000007"/>
    <x v="1"/>
    <x v="1"/>
  </r>
  <r>
    <x v="244"/>
    <x v="1"/>
    <x v="5"/>
    <x v="6"/>
    <x v="1"/>
    <x v="4"/>
    <x v="1"/>
    <x v="3"/>
    <x v="5"/>
    <n v="30"/>
    <n v="4.0999999999999996"/>
    <n v="5.0999999999999996"/>
    <s v="Intermediate"/>
    <x v="2"/>
    <n v="65.349999999999994"/>
    <n v="5"/>
    <x v="0"/>
    <n v="4"/>
    <s v="Low"/>
    <n v="11.9"/>
    <x v="2"/>
    <x v="1"/>
  </r>
  <r>
    <x v="245"/>
    <x v="2"/>
    <x v="21"/>
    <x v="5"/>
    <x v="1"/>
    <x v="1"/>
    <x v="0"/>
    <x v="1"/>
    <x v="0"/>
    <n v="67"/>
    <n v="20.2"/>
    <n v="26.3"/>
    <s v="Expert"/>
    <x v="25"/>
    <n v="115.47"/>
    <n v="8"/>
    <x v="1"/>
    <n v="9"/>
    <s v="Excellent"/>
    <n v="4.2"/>
    <x v="0"/>
    <x v="3"/>
  </r>
  <r>
    <x v="246"/>
    <x v="0"/>
    <x v="18"/>
    <x v="10"/>
    <x v="3"/>
    <x v="3"/>
    <x v="0"/>
    <x v="2"/>
    <x v="3"/>
    <n v="3"/>
    <n v="0.2"/>
    <n v="-15.5"/>
    <s v="Beginner"/>
    <x v="6"/>
    <n v="11.3"/>
    <n v="4"/>
    <x v="2"/>
    <n v="1"/>
    <s v="Low"/>
    <n v="17.100000000000001"/>
    <x v="0"/>
    <x v="5"/>
  </r>
  <r>
    <x v="247"/>
    <x v="0"/>
    <x v="3"/>
    <x v="5"/>
    <x v="1"/>
    <x v="11"/>
    <x v="3"/>
    <x v="3"/>
    <x v="4"/>
    <n v="21"/>
    <n v="3.1"/>
    <n v="1.1000000000000001"/>
    <s v="Beginner"/>
    <x v="38"/>
    <n v="15.06"/>
    <n v="6"/>
    <x v="1"/>
    <n v="6"/>
    <s v="Moderate"/>
    <n v="9.6999999999999993"/>
    <x v="1"/>
    <x v="0"/>
  </r>
  <r>
    <x v="248"/>
    <x v="1"/>
    <x v="3"/>
    <x v="0"/>
    <x v="0"/>
    <x v="13"/>
    <x v="0"/>
    <x v="3"/>
    <x v="0"/>
    <n v="31"/>
    <n v="36.5"/>
    <n v="14.9"/>
    <s v="Advanced"/>
    <x v="59"/>
    <n v="122.59"/>
    <n v="7"/>
    <x v="3"/>
    <n v="0"/>
    <s v="Moderate"/>
    <n v="12.4"/>
    <x v="2"/>
    <x v="1"/>
  </r>
  <r>
    <x v="249"/>
    <x v="2"/>
    <x v="5"/>
    <x v="0"/>
    <x v="0"/>
    <x v="1"/>
    <x v="4"/>
    <x v="1"/>
    <x v="1"/>
    <n v="75"/>
    <n v="23.9"/>
    <n v="37.700000000000003"/>
    <s v="Expert"/>
    <x v="52"/>
    <n v="55.31"/>
    <n v="10"/>
    <x v="0"/>
    <n v="8"/>
    <s v="Excellent"/>
    <n v="3.4"/>
    <x v="0"/>
    <x v="3"/>
  </r>
  <r>
    <x v="250"/>
    <x v="0"/>
    <x v="2"/>
    <x v="4"/>
    <x v="3"/>
    <x v="0"/>
    <x v="0"/>
    <x v="0"/>
    <x v="5"/>
    <n v="19"/>
    <n v="1.2"/>
    <n v="-2.2999999999999998"/>
    <s v="Intermediate"/>
    <x v="4"/>
    <n v="43.1"/>
    <n v="8"/>
    <x v="0"/>
    <n v="5"/>
    <s v="Moderate"/>
    <n v="17"/>
    <x v="0"/>
    <x v="0"/>
  </r>
  <r>
    <x v="251"/>
    <x v="0"/>
    <x v="12"/>
    <x v="5"/>
    <x v="1"/>
    <x v="1"/>
    <x v="3"/>
    <x v="4"/>
    <x v="8"/>
    <n v="0"/>
    <n v="0"/>
    <n v="1.3"/>
    <s v="Beginner"/>
    <x v="33"/>
    <n v="0"/>
    <n v="5"/>
    <x v="2"/>
    <n v="1"/>
    <s v="Low"/>
    <m/>
    <x v="2"/>
    <x v="1"/>
  </r>
  <r>
    <x v="252"/>
    <x v="0"/>
    <x v="4"/>
    <x v="7"/>
    <x v="2"/>
    <x v="10"/>
    <x v="3"/>
    <x v="0"/>
    <x v="3"/>
    <n v="40"/>
    <n v="4.3"/>
    <n v="11.9"/>
    <s v="Advanced"/>
    <x v="4"/>
    <n v="25.22"/>
    <n v="6"/>
    <x v="2"/>
    <n v="5"/>
    <s v="High"/>
    <n v="5.9"/>
    <x v="3"/>
    <x v="1"/>
  </r>
  <r>
    <x v="253"/>
    <x v="2"/>
    <x v="14"/>
    <x v="3"/>
    <x v="1"/>
    <x v="1"/>
    <x v="3"/>
    <x v="3"/>
    <x v="7"/>
    <n v="31"/>
    <n v="6.8"/>
    <n v="5.9"/>
    <s v="Intermediate"/>
    <x v="1"/>
    <n v="126.42"/>
    <n v="6"/>
    <x v="0"/>
    <n v="5"/>
    <s v="Moderate"/>
    <n v="10.3"/>
    <x v="3"/>
    <x v="1"/>
  </r>
  <r>
    <x v="254"/>
    <x v="0"/>
    <x v="13"/>
    <x v="3"/>
    <x v="2"/>
    <x v="5"/>
    <x v="0"/>
    <x v="3"/>
    <x v="2"/>
    <n v="26"/>
    <n v="5.6"/>
    <n v="30.8"/>
    <s v="Intermediate"/>
    <x v="14"/>
    <n v="113.35"/>
    <n v="7"/>
    <x v="0"/>
    <n v="5"/>
    <s v="Moderate"/>
    <n v="6.2"/>
    <x v="2"/>
    <x v="0"/>
  </r>
  <r>
    <x v="255"/>
    <x v="1"/>
    <x v="14"/>
    <x v="6"/>
    <x v="1"/>
    <x v="0"/>
    <x v="3"/>
    <x v="3"/>
    <x v="6"/>
    <n v="6"/>
    <n v="1"/>
    <n v="-9.8000000000000007"/>
    <s v="Beginner"/>
    <x v="11"/>
    <n v="16.28"/>
    <n v="3"/>
    <x v="3"/>
    <n v="5"/>
    <s v="Low"/>
    <n v="16.100000000000001"/>
    <x v="0"/>
    <x v="5"/>
  </r>
  <r>
    <x v="256"/>
    <x v="2"/>
    <x v="13"/>
    <x v="0"/>
    <x v="2"/>
    <x v="2"/>
    <x v="4"/>
    <x v="3"/>
    <x v="7"/>
    <n v="18"/>
    <n v="4.7"/>
    <n v="6.2"/>
    <s v="Intermediate"/>
    <x v="33"/>
    <n v="98.93"/>
    <n v="4"/>
    <x v="2"/>
    <n v="6"/>
    <s v="High"/>
    <n v="8"/>
    <x v="0"/>
    <x v="1"/>
  </r>
  <r>
    <x v="257"/>
    <x v="2"/>
    <x v="1"/>
    <x v="4"/>
    <x v="0"/>
    <x v="4"/>
    <x v="1"/>
    <x v="3"/>
    <x v="5"/>
    <n v="52"/>
    <n v="6.5"/>
    <n v="35.5"/>
    <s v="Advanced"/>
    <x v="33"/>
    <n v="64.34"/>
    <n v="9"/>
    <x v="2"/>
    <n v="6"/>
    <s v="High"/>
    <n v="4.4000000000000004"/>
    <x v="1"/>
    <x v="0"/>
  </r>
  <r>
    <x v="258"/>
    <x v="0"/>
    <x v="5"/>
    <x v="4"/>
    <x v="1"/>
    <x v="3"/>
    <x v="2"/>
    <x v="3"/>
    <x v="4"/>
    <n v="10"/>
    <n v="1.1000000000000001"/>
    <n v="-0.7"/>
    <s v="Beginner"/>
    <x v="38"/>
    <n v="20.350000000000001"/>
    <n v="4"/>
    <x v="0"/>
    <n v="4"/>
    <s v="Moderate"/>
    <n v="10.8"/>
    <x v="1"/>
    <x v="5"/>
  </r>
  <r>
    <x v="259"/>
    <x v="1"/>
    <x v="7"/>
    <x v="3"/>
    <x v="2"/>
    <x v="8"/>
    <x v="3"/>
    <x v="3"/>
    <x v="0"/>
    <n v="17"/>
    <n v="5.2"/>
    <n v="1.1000000000000001"/>
    <s v="Mid"/>
    <x v="33"/>
    <n v="71.41"/>
    <n v="4"/>
    <x v="2"/>
    <n v="6"/>
    <s v="Low"/>
    <n v="4.5999999999999996"/>
    <x v="0"/>
    <x v="0"/>
  </r>
  <r>
    <x v="260"/>
    <x v="2"/>
    <x v="12"/>
    <x v="5"/>
    <x v="1"/>
    <x v="3"/>
    <x v="1"/>
    <x v="0"/>
    <x v="3"/>
    <n v="61"/>
    <n v="16"/>
    <n v="12.7"/>
    <s v="Intermediate"/>
    <x v="22"/>
    <n v="42.81"/>
    <n v="8"/>
    <x v="1"/>
    <n v="9"/>
    <s v="High"/>
    <n v="6.6"/>
    <x v="3"/>
    <x v="3"/>
  </r>
  <r>
    <x v="261"/>
    <x v="0"/>
    <x v="5"/>
    <x v="10"/>
    <x v="1"/>
    <x v="2"/>
    <x v="2"/>
    <x v="2"/>
    <x v="2"/>
    <n v="6"/>
    <n v="0.6"/>
    <n v="6.9"/>
    <s v="Novice"/>
    <x v="4"/>
    <n v="20.66"/>
    <n v="5"/>
    <x v="3"/>
    <n v="4"/>
    <s v="Low"/>
    <n v="8.8000000000000007"/>
    <x v="0"/>
    <x v="0"/>
  </r>
  <r>
    <x v="262"/>
    <x v="0"/>
    <x v="12"/>
    <x v="0"/>
    <x v="1"/>
    <x v="9"/>
    <x v="3"/>
    <x v="3"/>
    <x v="4"/>
    <n v="19"/>
    <n v="4.5999999999999996"/>
    <n v="-4.9000000000000004"/>
    <s v="Intermediate"/>
    <x v="41"/>
    <n v="25.98"/>
    <n v="6"/>
    <x v="2"/>
    <n v="5"/>
    <s v="Moderate"/>
    <n v="13.9"/>
    <x v="0"/>
    <x v="1"/>
  </r>
  <r>
    <x v="263"/>
    <x v="2"/>
    <x v="2"/>
    <x v="10"/>
    <x v="0"/>
    <x v="7"/>
    <x v="1"/>
    <x v="0"/>
    <x v="3"/>
    <n v="24"/>
    <n v="3.1"/>
    <n v="-4.8"/>
    <s v="Intermediate"/>
    <x v="11"/>
    <n v="77.05"/>
    <n v="8"/>
    <x v="0"/>
    <n v="6"/>
    <s v="Moderate"/>
    <n v="5.8"/>
    <x v="0"/>
    <x v="0"/>
  </r>
  <r>
    <x v="264"/>
    <x v="1"/>
    <x v="14"/>
    <x v="10"/>
    <x v="3"/>
    <x v="7"/>
    <x v="3"/>
    <x v="2"/>
    <x v="3"/>
    <n v="6"/>
    <n v="0.5"/>
    <n v="1.1000000000000001"/>
    <s v="Beginner"/>
    <x v="4"/>
    <n v="17.82"/>
    <n v="5"/>
    <x v="1"/>
    <n v="4"/>
    <s v="Moderate"/>
    <n v="9.6"/>
    <x v="3"/>
    <x v="5"/>
  </r>
  <r>
    <x v="265"/>
    <x v="1"/>
    <x v="1"/>
    <x v="0"/>
    <x v="3"/>
    <x v="2"/>
    <x v="0"/>
    <x v="4"/>
    <x v="8"/>
    <n v="0"/>
    <n v="0"/>
    <n v="2.2000000000000002"/>
    <s v="Beginner"/>
    <x v="7"/>
    <n v="0"/>
    <n v="5"/>
    <x v="2"/>
    <n v="3"/>
    <s v="Low"/>
    <m/>
    <x v="1"/>
    <x v="1"/>
  </r>
  <r>
    <x v="266"/>
    <x v="2"/>
    <x v="3"/>
    <x v="6"/>
    <x v="2"/>
    <x v="5"/>
    <x v="3"/>
    <x v="1"/>
    <x v="6"/>
    <n v="44"/>
    <n v="10.4"/>
    <n v="23.7"/>
    <s v="Expert"/>
    <x v="61"/>
    <n v="215.02"/>
    <n v="7"/>
    <x v="2"/>
    <n v="7"/>
    <s v="High"/>
    <n v="7"/>
    <x v="2"/>
    <x v="0"/>
  </r>
  <r>
    <x v="267"/>
    <x v="2"/>
    <x v="14"/>
    <x v="0"/>
    <x v="2"/>
    <x v="1"/>
    <x v="4"/>
    <x v="2"/>
    <x v="7"/>
    <n v="17"/>
    <n v="4.9000000000000004"/>
    <n v="17.5"/>
    <s v="Advanced"/>
    <x v="10"/>
    <n v="67.95"/>
    <n v="7"/>
    <x v="3"/>
    <n v="5"/>
    <s v="Moderate"/>
    <n v="6.5"/>
    <x v="2"/>
    <x v="1"/>
  </r>
  <r>
    <x v="268"/>
    <x v="2"/>
    <x v="2"/>
    <x v="6"/>
    <x v="1"/>
    <x v="4"/>
    <x v="0"/>
    <x v="0"/>
    <x v="5"/>
    <n v="53"/>
    <n v="3.7"/>
    <n v="4.5"/>
    <s v="Expert"/>
    <x v="23"/>
    <n v="63.44"/>
    <n v="9"/>
    <x v="0"/>
    <n v="6"/>
    <s v="High"/>
    <n v="10.7"/>
    <x v="0"/>
    <x v="3"/>
  </r>
  <r>
    <x v="269"/>
    <x v="0"/>
    <x v="5"/>
    <x v="13"/>
    <x v="0"/>
    <x v="12"/>
    <x v="3"/>
    <x v="3"/>
    <x v="4"/>
    <n v="13"/>
    <n v="2.8"/>
    <n v="11.4"/>
    <s v="Advanced"/>
    <x v="42"/>
    <n v="37.159999999999997"/>
    <n v="8"/>
    <x v="0"/>
    <n v="5"/>
    <s v="Moderate"/>
    <n v="6"/>
    <x v="2"/>
    <x v="3"/>
  </r>
  <r>
    <x v="270"/>
    <x v="0"/>
    <x v="14"/>
    <x v="5"/>
    <x v="1"/>
    <x v="5"/>
    <x v="0"/>
    <x v="2"/>
    <x v="7"/>
    <n v="12"/>
    <n v="4.0999999999999996"/>
    <n v="1.4"/>
    <s v="Intermediate"/>
    <x v="22"/>
    <n v="33.57"/>
    <n v="6"/>
    <x v="0"/>
    <n v="4"/>
    <s v="Moderate"/>
    <n v="8.9"/>
    <x v="0"/>
    <x v="0"/>
  </r>
  <r>
    <x v="271"/>
    <x v="2"/>
    <x v="7"/>
    <x v="6"/>
    <x v="0"/>
    <x v="13"/>
    <x v="0"/>
    <x v="0"/>
    <x v="6"/>
    <n v="26"/>
    <n v="4.0999999999999996"/>
    <n v="-9.9"/>
    <s v="Beginner"/>
    <x v="6"/>
    <n v="56.85"/>
    <n v="6"/>
    <x v="0"/>
    <n v="4"/>
    <s v="Moderate"/>
    <n v="13.7"/>
    <x v="3"/>
    <x v="1"/>
  </r>
  <r>
    <x v="272"/>
    <x v="0"/>
    <x v="13"/>
    <x v="5"/>
    <x v="8"/>
    <x v="6"/>
    <x v="4"/>
    <x v="2"/>
    <x v="6"/>
    <n v="4"/>
    <n v="0.7"/>
    <n v="15.7"/>
    <s v="Intermediate"/>
    <x v="30"/>
    <n v="22.78"/>
    <n v="5"/>
    <x v="3"/>
    <n v="5"/>
    <s v="Moderate"/>
    <n v="5.9"/>
    <x v="2"/>
    <x v="0"/>
  </r>
  <r>
    <x v="273"/>
    <x v="0"/>
    <x v="2"/>
    <x v="6"/>
    <x v="1"/>
    <x v="1"/>
    <x v="3"/>
    <x v="3"/>
    <x v="1"/>
    <n v="15"/>
    <n v="3.1"/>
    <n v="18.600000000000001"/>
    <s v="Intermediate"/>
    <x v="19"/>
    <n v="186.81"/>
    <n v="7"/>
    <x v="0"/>
    <n v="4"/>
    <s v="Moderate"/>
    <n v="7.5"/>
    <x v="0"/>
    <x v="0"/>
  </r>
  <r>
    <x v="274"/>
    <x v="2"/>
    <x v="3"/>
    <x v="7"/>
    <x v="3"/>
    <x v="2"/>
    <x v="3"/>
    <x v="2"/>
    <x v="6"/>
    <n v="5"/>
    <n v="2.4"/>
    <n v="-4.3"/>
    <s v="Intermediate"/>
    <x v="4"/>
    <n v="22.55"/>
    <n v="5"/>
    <x v="0"/>
    <n v="5"/>
    <s v="Moderate"/>
    <n v="15.1"/>
    <x v="0"/>
    <x v="6"/>
  </r>
  <r>
    <x v="275"/>
    <x v="2"/>
    <x v="2"/>
    <x v="0"/>
    <x v="3"/>
    <x v="4"/>
    <x v="2"/>
    <x v="3"/>
    <x v="5"/>
    <n v="34"/>
    <n v="5.9"/>
    <n v="-13.2"/>
    <s v="Intermediate"/>
    <x v="11"/>
    <n v="31.25"/>
    <n v="6"/>
    <x v="3"/>
    <n v="6"/>
    <s v="Moderate"/>
    <n v="10.4"/>
    <x v="3"/>
    <x v="5"/>
  </r>
  <r>
    <x v="276"/>
    <x v="2"/>
    <x v="22"/>
    <x v="3"/>
    <x v="1"/>
    <x v="7"/>
    <x v="0"/>
    <x v="0"/>
    <x v="7"/>
    <n v="74"/>
    <n v="18"/>
    <n v="20.8"/>
    <s v="Advanced"/>
    <x v="9"/>
    <n v="189.97"/>
    <n v="6"/>
    <x v="1"/>
    <n v="5"/>
    <s v="Moderate"/>
    <n v="17.600000000000001"/>
    <x v="3"/>
    <x v="0"/>
  </r>
  <r>
    <x v="277"/>
    <x v="2"/>
    <x v="8"/>
    <x v="5"/>
    <x v="1"/>
    <x v="11"/>
    <x v="4"/>
    <x v="0"/>
    <x v="7"/>
    <n v="16"/>
    <n v="6"/>
    <n v="14.2"/>
    <s v="Intermediate"/>
    <x v="17"/>
    <n v="105.1"/>
    <n v="7"/>
    <x v="0"/>
    <n v="6"/>
    <s v="High"/>
    <n v="11"/>
    <x v="3"/>
    <x v="0"/>
  </r>
  <r>
    <x v="278"/>
    <x v="0"/>
    <x v="9"/>
    <x v="4"/>
    <x v="3"/>
    <x v="5"/>
    <x v="1"/>
    <x v="3"/>
    <x v="2"/>
    <n v="10"/>
    <n v="0.8"/>
    <n v="-19.3"/>
    <s v="Intermediate"/>
    <x v="4"/>
    <n v="42.57"/>
    <n v="5"/>
    <x v="0"/>
    <n v="3"/>
    <s v="Moderate"/>
    <n v="11.8"/>
    <x v="0"/>
    <x v="1"/>
  </r>
  <r>
    <x v="279"/>
    <x v="0"/>
    <x v="11"/>
    <x v="1"/>
    <x v="1"/>
    <x v="6"/>
    <x v="3"/>
    <x v="2"/>
    <x v="7"/>
    <n v="7"/>
    <n v="1.4"/>
    <n v="-1.9"/>
    <s v="Beginner"/>
    <x v="24"/>
    <n v="81.75"/>
    <n v="9"/>
    <x v="0"/>
    <n v="3"/>
    <s v="Low"/>
    <n v="8.1999999999999993"/>
    <x v="2"/>
    <x v="0"/>
  </r>
  <r>
    <x v="280"/>
    <x v="2"/>
    <x v="5"/>
    <x v="6"/>
    <x v="4"/>
    <x v="8"/>
    <x v="0"/>
    <x v="1"/>
    <x v="7"/>
    <n v="50"/>
    <n v="0"/>
    <n v="7.1"/>
    <s v="Advanced"/>
    <x v="57"/>
    <n v="229.27"/>
    <n v="7"/>
    <x v="0"/>
    <n v="7"/>
    <s v="High"/>
    <n v="11.3"/>
    <x v="1"/>
    <x v="1"/>
  </r>
  <r>
    <x v="281"/>
    <x v="1"/>
    <x v="11"/>
    <x v="6"/>
    <x v="0"/>
    <x v="1"/>
    <x v="1"/>
    <x v="0"/>
    <x v="1"/>
    <n v="13"/>
    <n v="0"/>
    <n v="15.5"/>
    <s v="Advanced"/>
    <x v="22"/>
    <n v="351.57"/>
    <n v="6"/>
    <x v="0"/>
    <n v="7"/>
    <s v="High"/>
    <n v="6.8"/>
    <x v="0"/>
    <x v="0"/>
  </r>
  <r>
    <x v="282"/>
    <x v="0"/>
    <x v="4"/>
    <x v="3"/>
    <x v="1"/>
    <x v="8"/>
    <x v="0"/>
    <x v="3"/>
    <x v="0"/>
    <n v="19"/>
    <n v="2.4"/>
    <n v="9.4"/>
    <s v="Intermediate"/>
    <x v="40"/>
    <n v="31.99"/>
    <n v="6"/>
    <x v="0"/>
    <n v="7"/>
    <s v="Moderate"/>
    <n v="11.4"/>
    <x v="3"/>
    <x v="0"/>
  </r>
  <r>
    <x v="283"/>
    <x v="2"/>
    <x v="8"/>
    <x v="4"/>
    <x v="2"/>
    <x v="13"/>
    <x v="1"/>
    <x v="1"/>
    <x v="6"/>
    <n v="80"/>
    <n v="26"/>
    <n v="29"/>
    <s v="Expert"/>
    <x v="62"/>
    <n v="47.57"/>
    <n v="9"/>
    <x v="1"/>
    <n v="6"/>
    <s v="Excellent"/>
    <n v="5.6"/>
    <x v="1"/>
    <x v="3"/>
  </r>
  <r>
    <x v="284"/>
    <x v="0"/>
    <x v="0"/>
    <x v="2"/>
    <x v="0"/>
    <x v="1"/>
    <x v="0"/>
    <x v="1"/>
    <x v="2"/>
    <n v="109"/>
    <n v="14.7"/>
    <n v="0"/>
    <s v="Advanced"/>
    <x v="33"/>
    <n v="159.75"/>
    <n v="8"/>
    <x v="0"/>
    <n v="8"/>
    <s v="Excellent"/>
    <n v="6.4"/>
    <x v="0"/>
    <x v="3"/>
  </r>
  <r>
    <x v="285"/>
    <x v="2"/>
    <x v="16"/>
    <x v="10"/>
    <x v="2"/>
    <x v="9"/>
    <x v="0"/>
    <x v="0"/>
    <x v="7"/>
    <n v="18"/>
    <n v="10.3"/>
    <n v="0"/>
    <s v="Beginner"/>
    <x v="4"/>
    <n v="108.57"/>
    <n v="8"/>
    <x v="1"/>
    <n v="2"/>
    <s v="Moderate"/>
    <n v="9.5"/>
    <x v="3"/>
    <x v="0"/>
  </r>
  <r>
    <x v="286"/>
    <x v="2"/>
    <x v="11"/>
    <x v="9"/>
    <x v="2"/>
    <x v="6"/>
    <x v="0"/>
    <x v="0"/>
    <x v="3"/>
    <n v="40"/>
    <n v="6.2"/>
    <n v="28.8"/>
    <s v="Advanced"/>
    <x v="63"/>
    <n v="67.989999999999995"/>
    <n v="7"/>
    <x v="2"/>
    <n v="5"/>
    <s v="High"/>
    <n v="7.6"/>
    <x v="2"/>
    <x v="0"/>
  </r>
  <r>
    <x v="287"/>
    <x v="0"/>
    <x v="5"/>
    <x v="4"/>
    <x v="2"/>
    <x v="3"/>
    <x v="2"/>
    <x v="3"/>
    <x v="0"/>
    <n v="24"/>
    <n v="4.0999999999999996"/>
    <n v="12"/>
    <s v="Beginner"/>
    <x v="29"/>
    <n v="71.62"/>
    <n v="5"/>
    <x v="2"/>
    <n v="4"/>
    <s v="Low"/>
    <n v="16.399999999999999"/>
    <x v="1"/>
    <x v="1"/>
  </r>
  <r>
    <x v="288"/>
    <x v="2"/>
    <x v="0"/>
    <x v="7"/>
    <x v="2"/>
    <x v="2"/>
    <x v="1"/>
    <x v="2"/>
    <x v="7"/>
    <n v="6"/>
    <n v="1.7"/>
    <n v="7.5"/>
    <s v="Beginner"/>
    <x v="14"/>
    <n v="18.91"/>
    <n v="5"/>
    <x v="1"/>
    <n v="4"/>
    <s v="Moderate"/>
    <n v="9.1"/>
    <x v="0"/>
    <x v="1"/>
  </r>
  <r>
    <x v="289"/>
    <x v="1"/>
    <x v="10"/>
    <x v="5"/>
    <x v="1"/>
    <x v="0"/>
    <x v="3"/>
    <x v="2"/>
    <x v="6"/>
    <n v="6"/>
    <n v="1.9"/>
    <n v="-15.2"/>
    <s v="Beginner"/>
    <x v="12"/>
    <n v="14.15"/>
    <n v="5"/>
    <x v="2"/>
    <n v="4"/>
    <s v="Low"/>
    <n v="10.5"/>
    <x v="0"/>
    <x v="5"/>
  </r>
  <r>
    <x v="290"/>
    <x v="1"/>
    <x v="1"/>
    <x v="10"/>
    <x v="0"/>
    <x v="6"/>
    <x v="3"/>
    <x v="3"/>
    <x v="2"/>
    <n v="31"/>
    <n v="2.5"/>
    <n v="-8.6999999999999993"/>
    <s v="Beginner"/>
    <x v="36"/>
    <n v="25.85"/>
    <n v="0"/>
    <x v="0"/>
    <n v="3"/>
    <s v="Low"/>
    <n v="9.6"/>
    <x v="2"/>
    <x v="1"/>
  </r>
  <r>
    <x v="291"/>
    <x v="2"/>
    <x v="2"/>
    <x v="2"/>
    <x v="3"/>
    <x v="8"/>
    <x v="3"/>
    <x v="0"/>
    <x v="2"/>
    <n v="28"/>
    <n v="6.7"/>
    <n v="17.2"/>
    <s v="Expert"/>
    <x v="64"/>
    <n v="0"/>
    <n v="8"/>
    <x v="2"/>
    <n v="7"/>
    <s v="High"/>
    <n v="3.4"/>
    <x v="2"/>
    <x v="3"/>
  </r>
  <r>
    <x v="292"/>
    <x v="2"/>
    <x v="0"/>
    <x v="2"/>
    <x v="2"/>
    <x v="5"/>
    <x v="1"/>
    <x v="1"/>
    <x v="7"/>
    <n v="89"/>
    <n v="20.7"/>
    <n v="36.700000000000003"/>
    <s v="Expert"/>
    <x v="4"/>
    <n v="139.78"/>
    <n v="6"/>
    <x v="1"/>
    <n v="5"/>
    <s v="High"/>
    <n v="5.8"/>
    <x v="1"/>
    <x v="3"/>
  </r>
  <r>
    <x v="293"/>
    <x v="1"/>
    <x v="0"/>
    <x v="3"/>
    <x v="1"/>
    <x v="1"/>
    <x v="0"/>
    <x v="2"/>
    <x v="1"/>
    <n v="3"/>
    <n v="0.6"/>
    <n v="15.6"/>
    <s v="Intermediate"/>
    <x v="33"/>
    <n v="24.25"/>
    <n v="3"/>
    <x v="3"/>
    <n v="4"/>
    <s v="Low"/>
    <n v="9.9"/>
    <x v="0"/>
    <x v="5"/>
  </r>
  <r>
    <x v="294"/>
    <x v="1"/>
    <x v="16"/>
    <x v="8"/>
    <x v="3"/>
    <x v="12"/>
    <x v="4"/>
    <x v="2"/>
    <x v="0"/>
    <n v="6"/>
    <n v="0.5"/>
    <n v="13.3"/>
    <s v="Beginner"/>
    <x v="11"/>
    <n v="28.25"/>
    <n v="3"/>
    <x v="2"/>
    <n v="4"/>
    <s v="Low"/>
    <n v="7.2"/>
    <x v="0"/>
    <x v="5"/>
  </r>
  <r>
    <x v="295"/>
    <x v="0"/>
    <x v="14"/>
    <x v="3"/>
    <x v="2"/>
    <x v="5"/>
    <x v="3"/>
    <x v="3"/>
    <x v="6"/>
    <n v="14"/>
    <n v="0"/>
    <n v="29.1"/>
    <s v="Advanced"/>
    <x v="33"/>
    <n v="32.590000000000003"/>
    <n v="9"/>
    <x v="2"/>
    <n v="8"/>
    <s v="High"/>
    <n v="11.6"/>
    <x v="0"/>
    <x v="0"/>
  </r>
  <r>
    <x v="296"/>
    <x v="2"/>
    <x v="11"/>
    <x v="2"/>
    <x v="1"/>
    <x v="5"/>
    <x v="4"/>
    <x v="3"/>
    <x v="6"/>
    <n v="25"/>
    <n v="5.2"/>
    <n v="4.2"/>
    <s v="Advanced"/>
    <x v="17"/>
    <n v="37.99"/>
    <n v="7"/>
    <x v="2"/>
    <n v="7"/>
    <s v="High"/>
    <m/>
    <x v="0"/>
    <x v="0"/>
  </r>
  <r>
    <x v="297"/>
    <x v="0"/>
    <x v="5"/>
    <x v="6"/>
    <x v="2"/>
    <x v="10"/>
    <x v="0"/>
    <x v="0"/>
    <x v="3"/>
    <n v="42"/>
    <n v="9.8000000000000007"/>
    <n v="1.8"/>
    <s v="Advanced"/>
    <x v="13"/>
    <n v="57.83"/>
    <n v="4"/>
    <x v="3"/>
    <n v="6"/>
    <s v="High"/>
    <n v="14.7"/>
    <x v="0"/>
    <x v="0"/>
  </r>
  <r>
    <x v="298"/>
    <x v="2"/>
    <x v="7"/>
    <x v="3"/>
    <x v="1"/>
    <x v="10"/>
    <x v="0"/>
    <x v="1"/>
    <x v="3"/>
    <n v="65"/>
    <n v="14.1"/>
    <n v="19.8"/>
    <s v="Intermediate"/>
    <x v="42"/>
    <n v="43.38"/>
    <n v="7"/>
    <x v="0"/>
    <n v="5"/>
    <s v="Moderate"/>
    <n v="12.2"/>
    <x v="1"/>
    <x v="0"/>
  </r>
  <r>
    <x v="299"/>
    <x v="2"/>
    <x v="2"/>
    <x v="10"/>
    <x v="0"/>
    <x v="6"/>
    <x v="1"/>
    <x v="0"/>
    <x v="7"/>
    <n v="76"/>
    <n v="26"/>
    <n v="32.299999999999997"/>
    <s v="Expert"/>
    <x v="65"/>
    <n v="216.79"/>
    <n v="9"/>
    <x v="0"/>
    <n v="8"/>
    <s v="Excellent"/>
    <n v="7.7"/>
    <x v="0"/>
    <x v="3"/>
  </r>
  <r>
    <x v="300"/>
    <x v="0"/>
    <x v="9"/>
    <x v="6"/>
    <x v="3"/>
    <x v="13"/>
    <x v="3"/>
    <x v="3"/>
    <x v="1"/>
    <n v="14"/>
    <n v="2.2000000000000002"/>
    <n v="7.1"/>
    <s v="Beginner"/>
    <x v="1"/>
    <n v="104.29"/>
    <n v="5"/>
    <x v="0"/>
    <n v="5"/>
    <s v="Moderate"/>
    <n v="6.2"/>
    <x v="2"/>
    <x v="0"/>
  </r>
  <r>
    <x v="301"/>
    <x v="2"/>
    <x v="18"/>
    <x v="0"/>
    <x v="3"/>
    <x v="13"/>
    <x v="0"/>
    <x v="1"/>
    <x v="6"/>
    <n v="22"/>
    <n v="4.4000000000000004"/>
    <n v="9.8000000000000007"/>
    <s v="Intermediate"/>
    <x v="4"/>
    <n v="43.9"/>
    <n v="8"/>
    <x v="3"/>
    <n v="6"/>
    <s v="Excellent"/>
    <n v="7.6"/>
    <x v="3"/>
    <x v="1"/>
  </r>
  <r>
    <x v="302"/>
    <x v="2"/>
    <x v="11"/>
    <x v="4"/>
    <x v="3"/>
    <x v="5"/>
    <x v="0"/>
    <x v="1"/>
    <x v="7"/>
    <n v="64"/>
    <n v="0"/>
    <n v="30.4"/>
    <s v="Intermediate"/>
    <x v="4"/>
    <n v="157.33000000000001"/>
    <n v="7"/>
    <x v="1"/>
    <n v="6"/>
    <s v="Moderate"/>
    <n v="7.4"/>
    <x v="3"/>
    <x v="0"/>
  </r>
  <r>
    <x v="303"/>
    <x v="0"/>
    <x v="4"/>
    <x v="3"/>
    <x v="0"/>
    <x v="0"/>
    <x v="1"/>
    <x v="3"/>
    <x v="5"/>
    <n v="30"/>
    <n v="3.4"/>
    <n v="0"/>
    <s v="Intermediate"/>
    <x v="10"/>
    <n v="34.65"/>
    <n v="8"/>
    <x v="2"/>
    <n v="4"/>
    <s v="Low"/>
    <n v="7.2"/>
    <x v="0"/>
    <x v="1"/>
  </r>
  <r>
    <x v="304"/>
    <x v="0"/>
    <x v="5"/>
    <x v="9"/>
    <x v="0"/>
    <x v="3"/>
    <x v="3"/>
    <x v="0"/>
    <x v="4"/>
    <n v="18"/>
    <n v="4.8"/>
    <n v="3.7"/>
    <s v="Intermediate"/>
    <x v="12"/>
    <n v="109.31"/>
    <n v="8"/>
    <x v="0"/>
    <n v="6"/>
    <s v="High"/>
    <m/>
    <x v="0"/>
    <x v="0"/>
  </r>
  <r>
    <x v="305"/>
    <x v="0"/>
    <x v="1"/>
    <x v="6"/>
    <x v="0"/>
    <x v="5"/>
    <x v="1"/>
    <x v="1"/>
    <x v="2"/>
    <n v="55"/>
    <n v="7.3"/>
    <n v="15.9"/>
    <s v="Intermediate"/>
    <x v="4"/>
    <n v="126.92"/>
    <n v="9"/>
    <x v="0"/>
    <n v="7"/>
    <s v="Moderate"/>
    <n v="6"/>
    <x v="0"/>
    <x v="0"/>
  </r>
  <r>
    <x v="306"/>
    <x v="1"/>
    <x v="10"/>
    <x v="10"/>
    <x v="2"/>
    <x v="4"/>
    <x v="1"/>
    <x v="3"/>
    <x v="0"/>
    <n v="16"/>
    <n v="1.1000000000000001"/>
    <n v="-13.5"/>
    <s v="Intermediate"/>
    <x v="38"/>
    <n v="47.18"/>
    <n v="6"/>
    <x v="0"/>
    <n v="3"/>
    <s v="Low"/>
    <n v="10.4"/>
    <x v="2"/>
    <x v="1"/>
  </r>
  <r>
    <x v="307"/>
    <x v="0"/>
    <x v="18"/>
    <x v="7"/>
    <x v="5"/>
    <x v="4"/>
    <x v="9"/>
    <x v="4"/>
    <x v="8"/>
    <n v="0"/>
    <n v="0"/>
    <n v="-3.8"/>
    <s v="Intermediate"/>
    <x v="7"/>
    <n v="0"/>
    <n v="7"/>
    <x v="2"/>
    <n v="4"/>
    <s v="Low"/>
    <m/>
    <x v="0"/>
    <x v="1"/>
  </r>
  <r>
    <x v="308"/>
    <x v="1"/>
    <x v="9"/>
    <x v="2"/>
    <x v="1"/>
    <x v="5"/>
    <x v="2"/>
    <x v="3"/>
    <x v="6"/>
    <n v="19"/>
    <n v="7.1"/>
    <n v="0.1"/>
    <s v="Beginner"/>
    <x v="4"/>
    <n v="38.47"/>
    <n v="5"/>
    <x v="3"/>
    <n v="4"/>
    <s v="Low"/>
    <n v="16.3"/>
    <x v="1"/>
    <x v="5"/>
  </r>
  <r>
    <x v="309"/>
    <x v="1"/>
    <x v="5"/>
    <x v="2"/>
    <x v="3"/>
    <x v="7"/>
    <x v="1"/>
    <x v="2"/>
    <x v="3"/>
    <n v="6"/>
    <n v="1.6"/>
    <n v="3.9"/>
    <s v="Beginner"/>
    <x v="16"/>
    <n v="15.56"/>
    <n v="7"/>
    <x v="2"/>
    <n v="5"/>
    <s v="Moderate"/>
    <n v="5.3"/>
    <x v="0"/>
    <x v="0"/>
  </r>
  <r>
    <x v="310"/>
    <x v="0"/>
    <x v="4"/>
    <x v="6"/>
    <x v="0"/>
    <x v="1"/>
    <x v="3"/>
    <x v="0"/>
    <x v="2"/>
    <n v="68"/>
    <n v="8"/>
    <n v="19"/>
    <s v="Expert"/>
    <x v="5"/>
    <n v="100"/>
    <n v="10"/>
    <x v="3"/>
    <n v="7"/>
    <s v="Excellent"/>
    <n v="5.6"/>
    <x v="2"/>
    <x v="3"/>
  </r>
  <r>
    <x v="311"/>
    <x v="2"/>
    <x v="5"/>
    <x v="8"/>
    <x v="3"/>
    <x v="6"/>
    <x v="1"/>
    <x v="0"/>
    <x v="7"/>
    <n v="26"/>
    <n v="6.8"/>
    <n v="0.8"/>
    <s v="Beginner"/>
    <x v="4"/>
    <n v="0"/>
    <n v="4"/>
    <x v="2"/>
    <n v="5"/>
    <s v="Low"/>
    <n v="15.3"/>
    <x v="3"/>
    <x v="1"/>
  </r>
  <r>
    <x v="312"/>
    <x v="1"/>
    <x v="9"/>
    <x v="5"/>
    <x v="1"/>
    <x v="7"/>
    <x v="3"/>
    <x v="2"/>
    <x v="3"/>
    <n v="3"/>
    <n v="1.8"/>
    <n v="6.1"/>
    <s v="Beginner"/>
    <x v="14"/>
    <n v="11.53"/>
    <n v="5"/>
    <x v="2"/>
    <n v="4"/>
    <s v="Low"/>
    <n v="10.7"/>
    <x v="0"/>
    <x v="1"/>
  </r>
  <r>
    <x v="313"/>
    <x v="2"/>
    <x v="8"/>
    <x v="5"/>
    <x v="3"/>
    <x v="10"/>
    <x v="0"/>
    <x v="1"/>
    <x v="3"/>
    <n v="26"/>
    <n v="4.9000000000000004"/>
    <n v="9.3000000000000007"/>
    <s v="Expert"/>
    <x v="58"/>
    <n v="28.06"/>
    <n v="6"/>
    <x v="0"/>
    <n v="7"/>
    <s v="Excellent"/>
    <n v="5.3"/>
    <x v="3"/>
    <x v="3"/>
  </r>
  <r>
    <x v="314"/>
    <x v="0"/>
    <x v="16"/>
    <x v="5"/>
    <x v="1"/>
    <x v="6"/>
    <x v="1"/>
    <x v="2"/>
    <x v="2"/>
    <n v="14"/>
    <n v="2.5"/>
    <n v="7.1"/>
    <s v="Beginner"/>
    <x v="29"/>
    <n v="13.52"/>
    <n v="5"/>
    <x v="3"/>
    <n v="4"/>
    <s v="Low"/>
    <n v="7.6"/>
    <x v="2"/>
    <x v="0"/>
  </r>
  <r>
    <x v="315"/>
    <x v="1"/>
    <x v="1"/>
    <x v="2"/>
    <x v="2"/>
    <x v="12"/>
    <x v="0"/>
    <x v="3"/>
    <x v="4"/>
    <n v="13"/>
    <n v="1.2"/>
    <n v="1.1000000000000001"/>
    <s v="Intermediate"/>
    <x v="57"/>
    <n v="19.52"/>
    <n v="6"/>
    <x v="0"/>
    <n v="6"/>
    <s v="Low"/>
    <n v="4.9000000000000004"/>
    <x v="0"/>
    <x v="0"/>
  </r>
  <r>
    <x v="316"/>
    <x v="1"/>
    <x v="11"/>
    <x v="10"/>
    <x v="0"/>
    <x v="7"/>
    <x v="5"/>
    <x v="2"/>
    <x v="3"/>
    <n v="14"/>
    <n v="2.7"/>
    <n v="-2.7"/>
    <s v="Beginner"/>
    <x v="4"/>
    <n v="38.07"/>
    <n v="6"/>
    <x v="1"/>
    <n v="2"/>
    <s v="Low"/>
    <n v="11.8"/>
    <x v="0"/>
    <x v="1"/>
  </r>
  <r>
    <x v="317"/>
    <x v="1"/>
    <x v="18"/>
    <x v="10"/>
    <x v="1"/>
    <x v="9"/>
    <x v="3"/>
    <x v="2"/>
    <x v="0"/>
    <n v="4"/>
    <n v="0.9"/>
    <n v="-10.4"/>
    <s v="Beginner"/>
    <x v="13"/>
    <n v="26.97"/>
    <n v="4"/>
    <x v="3"/>
    <n v="3"/>
    <s v="Moderate"/>
    <n v="9.1"/>
    <x v="0"/>
    <x v="5"/>
  </r>
  <r>
    <x v="318"/>
    <x v="0"/>
    <x v="18"/>
    <x v="3"/>
    <x v="1"/>
    <x v="4"/>
    <x v="4"/>
    <x v="2"/>
    <x v="5"/>
    <n v="5"/>
    <n v="1.1000000000000001"/>
    <n v="-5.6"/>
    <s v="Beginner"/>
    <x v="13"/>
    <n v="26.26"/>
    <n v="4"/>
    <x v="2"/>
    <n v="4"/>
    <s v="Moderate"/>
    <n v="11.2"/>
    <x v="3"/>
    <x v="1"/>
  </r>
  <r>
    <x v="319"/>
    <x v="0"/>
    <x v="5"/>
    <x v="10"/>
    <x v="2"/>
    <x v="9"/>
    <x v="6"/>
    <x v="3"/>
    <x v="4"/>
    <n v="31"/>
    <n v="2.7"/>
    <n v="-5.6"/>
    <s v="Beginner"/>
    <x v="18"/>
    <m/>
    <n v="7"/>
    <x v="2"/>
    <n v="5"/>
    <s v="Low"/>
    <n v="63.2"/>
    <x v="2"/>
    <x v="1"/>
  </r>
  <r>
    <x v="320"/>
    <x v="2"/>
    <x v="14"/>
    <x v="8"/>
    <x v="3"/>
    <x v="7"/>
    <x v="1"/>
    <x v="0"/>
    <x v="6"/>
    <n v="17"/>
    <n v="7.8"/>
    <n v="20.8"/>
    <s v="Intermediate"/>
    <x v="66"/>
    <n v="0"/>
    <n v="7"/>
    <x v="1"/>
    <n v="7"/>
    <s v="Moderate"/>
    <n v="7.4"/>
    <x v="0"/>
    <x v="3"/>
  </r>
  <r>
    <x v="321"/>
    <x v="1"/>
    <x v="7"/>
    <x v="2"/>
    <x v="2"/>
    <x v="1"/>
    <x v="3"/>
    <x v="0"/>
    <x v="1"/>
    <n v="20"/>
    <n v="2.5"/>
    <n v="-4.9000000000000004"/>
    <s v="Intermediate"/>
    <x v="37"/>
    <n v="101.6"/>
    <n v="5"/>
    <x v="0"/>
    <n v="6"/>
    <s v="Moderate"/>
    <n v="7.4"/>
    <x v="2"/>
    <x v="0"/>
  </r>
  <r>
    <x v="322"/>
    <x v="2"/>
    <x v="18"/>
    <x v="0"/>
    <x v="1"/>
    <x v="0"/>
    <x v="0"/>
    <x v="0"/>
    <x v="0"/>
    <n v="51"/>
    <n v="18.899999999999999"/>
    <n v="31.8"/>
    <s v="Advanced"/>
    <x v="41"/>
    <n v="70.25"/>
    <n v="8"/>
    <x v="1"/>
    <n v="3"/>
    <s v="High"/>
    <n v="6.9"/>
    <x v="0"/>
    <x v="3"/>
  </r>
  <r>
    <x v="323"/>
    <x v="1"/>
    <x v="0"/>
    <x v="3"/>
    <x v="0"/>
    <x v="9"/>
    <x v="3"/>
    <x v="3"/>
    <x v="0"/>
    <n v="16"/>
    <n v="0.9"/>
    <n v="0.3"/>
    <s v="Intermediate"/>
    <x v="1"/>
    <n v="28.09"/>
    <n v="6"/>
    <x v="2"/>
    <n v="5"/>
    <s v="Moderate"/>
    <n v="9.8000000000000007"/>
    <x v="2"/>
    <x v="1"/>
  </r>
  <r>
    <x v="324"/>
    <x v="1"/>
    <x v="10"/>
    <x v="6"/>
    <x v="3"/>
    <x v="12"/>
    <x v="0"/>
    <x v="3"/>
    <x v="4"/>
    <n v="10"/>
    <n v="0.8"/>
    <n v="-8.8000000000000007"/>
    <s v="Beginner"/>
    <x v="11"/>
    <n v="19.02"/>
    <n v="4"/>
    <x v="0"/>
    <n v="4"/>
    <s v="Moderate"/>
    <n v="6.5"/>
    <x v="3"/>
    <x v="1"/>
  </r>
  <r>
    <x v="325"/>
    <x v="1"/>
    <x v="1"/>
    <x v="2"/>
    <x v="3"/>
    <x v="7"/>
    <x v="4"/>
    <x v="0"/>
    <x v="0"/>
    <n v="48"/>
    <n v="3.7"/>
    <n v="-1.3"/>
    <s v="Advanced"/>
    <x v="16"/>
    <n v="145.55000000000001"/>
    <n v="8"/>
    <x v="0"/>
    <n v="7"/>
    <s v="Moderate"/>
    <n v="8.4"/>
    <x v="2"/>
    <x v="0"/>
  </r>
  <r>
    <x v="326"/>
    <x v="2"/>
    <x v="14"/>
    <x v="10"/>
    <x v="0"/>
    <x v="12"/>
    <x v="0"/>
    <x v="1"/>
    <x v="4"/>
    <n v="51"/>
    <n v="10.1"/>
    <n v="13.5"/>
    <s v="Advanced"/>
    <x v="33"/>
    <n v="61.75"/>
    <n v="10"/>
    <x v="1"/>
    <n v="9"/>
    <s v="Excellent"/>
    <n v="5.2"/>
    <x v="3"/>
    <x v="3"/>
  </r>
  <r>
    <x v="327"/>
    <x v="1"/>
    <x v="5"/>
    <x v="5"/>
    <x v="2"/>
    <x v="9"/>
    <x v="4"/>
    <x v="4"/>
    <x v="8"/>
    <n v="0"/>
    <n v="0"/>
    <n v="1.4"/>
    <s v="Beginner"/>
    <x v="10"/>
    <n v="0"/>
    <n v="7"/>
    <x v="2"/>
    <n v="2"/>
    <s v="Low"/>
    <m/>
    <x v="2"/>
    <x v="1"/>
  </r>
  <r>
    <x v="328"/>
    <x v="2"/>
    <x v="18"/>
    <x v="4"/>
    <x v="3"/>
    <x v="13"/>
    <x v="2"/>
    <x v="2"/>
    <x v="2"/>
    <n v="15"/>
    <n v="5.4"/>
    <n v="17.3"/>
    <s v="Beginner"/>
    <x v="4"/>
    <n v="21.87"/>
    <n v="5"/>
    <x v="2"/>
    <n v="3"/>
    <s v="Moderate"/>
    <n v="9"/>
    <x v="3"/>
    <x v="1"/>
  </r>
  <r>
    <x v="329"/>
    <x v="0"/>
    <x v="10"/>
    <x v="5"/>
    <x v="3"/>
    <x v="5"/>
    <x v="1"/>
    <x v="2"/>
    <x v="0"/>
    <n v="11"/>
    <n v="0.7"/>
    <n v="-0.4"/>
    <s v="Intermediate"/>
    <x v="30"/>
    <n v="17.41"/>
    <n v="5"/>
    <x v="3"/>
    <n v="6"/>
    <s v="High"/>
    <n v="10.7"/>
    <x v="0"/>
    <x v="1"/>
  </r>
  <r>
    <x v="330"/>
    <x v="2"/>
    <x v="14"/>
    <x v="6"/>
    <x v="0"/>
    <x v="3"/>
    <x v="0"/>
    <x v="0"/>
    <x v="7"/>
    <n v="27"/>
    <n v="3.8"/>
    <n v="14.2"/>
    <s v="Advanced"/>
    <x v="29"/>
    <n v="276.60000000000002"/>
    <n v="6"/>
    <x v="0"/>
    <n v="7"/>
    <s v="High"/>
    <n v="8.6999999999999993"/>
    <x v="1"/>
    <x v="0"/>
  </r>
  <r>
    <x v="331"/>
    <x v="1"/>
    <x v="11"/>
    <x v="10"/>
    <x v="2"/>
    <x v="6"/>
    <x v="10"/>
    <x v="4"/>
    <x v="8"/>
    <n v="0"/>
    <n v="0"/>
    <n v="5.4"/>
    <s v="Beginner"/>
    <x v="6"/>
    <n v="0"/>
    <n v="4"/>
    <x v="0"/>
    <n v="3"/>
    <s v="Low"/>
    <m/>
    <x v="2"/>
    <x v="0"/>
  </r>
  <r>
    <x v="332"/>
    <x v="2"/>
    <x v="3"/>
    <x v="6"/>
    <x v="1"/>
    <x v="5"/>
    <x v="0"/>
    <x v="1"/>
    <x v="7"/>
    <n v="122"/>
    <n v="26"/>
    <n v="37.200000000000003"/>
    <s v="Advanced"/>
    <x v="67"/>
    <n v="184.26"/>
    <n v="8"/>
    <x v="0"/>
    <n v="7"/>
    <s v="High"/>
    <n v="6.6"/>
    <x v="3"/>
    <x v="3"/>
  </r>
  <r>
    <x v="333"/>
    <x v="2"/>
    <x v="9"/>
    <x v="6"/>
    <x v="2"/>
    <x v="1"/>
    <x v="1"/>
    <x v="0"/>
    <x v="2"/>
    <n v="28"/>
    <n v="4.7"/>
    <n v="25.8"/>
    <s v="Intermediate"/>
    <x v="17"/>
    <n v="109.53"/>
    <n v="7"/>
    <x v="0"/>
    <n v="5"/>
    <s v="High"/>
    <n v="7.3"/>
    <x v="3"/>
    <x v="0"/>
  </r>
  <r>
    <x v="334"/>
    <x v="2"/>
    <x v="9"/>
    <x v="3"/>
    <x v="2"/>
    <x v="8"/>
    <x v="2"/>
    <x v="0"/>
    <x v="7"/>
    <n v="50"/>
    <n v="5.9"/>
    <n v="0"/>
    <s v="Advanced"/>
    <x v="68"/>
    <n v="55.93"/>
    <n v="5"/>
    <x v="3"/>
    <n v="7"/>
    <s v="Moderate"/>
    <n v="11.7"/>
    <x v="2"/>
    <x v="0"/>
  </r>
  <r>
    <x v="335"/>
    <x v="0"/>
    <x v="5"/>
    <x v="5"/>
    <x v="3"/>
    <x v="4"/>
    <x v="1"/>
    <x v="2"/>
    <x v="5"/>
    <n v="12"/>
    <n v="1.8"/>
    <n v="6.3"/>
    <s v="Beginner"/>
    <x v="6"/>
    <n v="13.64"/>
    <n v="3"/>
    <x v="2"/>
    <n v="5"/>
    <s v="Low"/>
    <n v="7.2"/>
    <x v="3"/>
    <x v="5"/>
  </r>
  <r>
    <x v="336"/>
    <x v="0"/>
    <x v="5"/>
    <x v="4"/>
    <x v="1"/>
    <x v="4"/>
    <x v="0"/>
    <x v="0"/>
    <x v="5"/>
    <n v="12"/>
    <n v="1.4"/>
    <n v="-13.3"/>
    <s v="Intermediate"/>
    <x v="6"/>
    <n v="83.09"/>
    <n v="5"/>
    <x v="1"/>
    <n v="6"/>
    <s v="Moderate"/>
    <n v="9.1999999999999993"/>
    <x v="1"/>
    <x v="1"/>
  </r>
  <r>
    <x v="337"/>
    <x v="2"/>
    <x v="3"/>
    <x v="6"/>
    <x v="0"/>
    <x v="7"/>
    <x v="2"/>
    <x v="0"/>
    <x v="7"/>
    <n v="50"/>
    <n v="19.3"/>
    <n v="24.7"/>
    <s v="Advanced"/>
    <x v="17"/>
    <n v="319.81"/>
    <n v="5"/>
    <x v="0"/>
    <n v="7"/>
    <s v="High"/>
    <n v="10.7"/>
    <x v="1"/>
    <x v="0"/>
  </r>
  <r>
    <x v="338"/>
    <x v="2"/>
    <x v="2"/>
    <x v="5"/>
    <x v="1"/>
    <x v="7"/>
    <x v="3"/>
    <x v="1"/>
    <x v="3"/>
    <n v="67"/>
    <n v="22.6"/>
    <n v="44.6"/>
    <s v="Advanced"/>
    <x v="40"/>
    <n v="157.85"/>
    <n v="8"/>
    <x v="0"/>
    <n v="6"/>
    <s v="Moderate"/>
    <n v="6.6"/>
    <x v="3"/>
    <x v="3"/>
  </r>
  <r>
    <x v="339"/>
    <x v="0"/>
    <x v="4"/>
    <x v="3"/>
    <x v="2"/>
    <x v="2"/>
    <x v="0"/>
    <x v="3"/>
    <x v="6"/>
    <n v="19"/>
    <n v="11.8"/>
    <n v="23.8"/>
    <s v="Intermediate"/>
    <x v="4"/>
    <n v="25.15"/>
    <n v="8"/>
    <x v="0"/>
    <n v="7"/>
    <s v="High"/>
    <n v="7.4"/>
    <x v="3"/>
    <x v="3"/>
  </r>
  <r>
    <x v="340"/>
    <x v="1"/>
    <x v="2"/>
    <x v="0"/>
    <x v="0"/>
    <x v="5"/>
    <x v="0"/>
    <x v="3"/>
    <x v="6"/>
    <n v="8"/>
    <n v="1"/>
    <n v="-0.4"/>
    <s v="Intermediate"/>
    <x v="49"/>
    <n v="88.43"/>
    <n v="4"/>
    <x v="2"/>
    <n v="4"/>
    <s v="Low"/>
    <n v="16.3"/>
    <x v="0"/>
    <x v="5"/>
  </r>
  <r>
    <x v="341"/>
    <x v="2"/>
    <x v="18"/>
    <x v="3"/>
    <x v="1"/>
    <x v="5"/>
    <x v="1"/>
    <x v="1"/>
    <x v="7"/>
    <n v="71"/>
    <n v="14.4"/>
    <n v="26.5"/>
    <s v="Advanced"/>
    <x v="13"/>
    <n v="186.69"/>
    <n v="8"/>
    <x v="0"/>
    <n v="4"/>
    <s v="Moderate"/>
    <n v="7.1"/>
    <x v="3"/>
    <x v="3"/>
  </r>
  <r>
    <x v="342"/>
    <x v="0"/>
    <x v="1"/>
    <x v="9"/>
    <x v="0"/>
    <x v="0"/>
    <x v="1"/>
    <x v="3"/>
    <x v="6"/>
    <n v="11"/>
    <n v="1.9"/>
    <n v="3.5"/>
    <s v="Intermediate"/>
    <x v="27"/>
    <n v="32.28"/>
    <n v="5"/>
    <x v="3"/>
    <n v="5"/>
    <s v="Medium"/>
    <n v="6.8"/>
    <x v="0"/>
    <x v="1"/>
  </r>
  <r>
    <x v="343"/>
    <x v="1"/>
    <x v="8"/>
    <x v="6"/>
    <x v="3"/>
    <x v="13"/>
    <x v="0"/>
    <x v="2"/>
    <x v="2"/>
    <n v="3"/>
    <n v="1.1000000000000001"/>
    <n v="6.8"/>
    <s v="Intermediate"/>
    <x v="12"/>
    <n v="21.54"/>
    <n v="4"/>
    <x v="3"/>
    <n v="5"/>
    <s v="Low"/>
    <n v="12.1"/>
    <x v="0"/>
    <x v="1"/>
  </r>
  <r>
    <x v="344"/>
    <x v="2"/>
    <x v="10"/>
    <x v="0"/>
    <x v="0"/>
    <x v="1"/>
    <x v="3"/>
    <x v="0"/>
    <x v="7"/>
    <n v="54"/>
    <n v="14"/>
    <n v="42.4"/>
    <s v="Intermediate"/>
    <x v="4"/>
    <n v="185.22"/>
    <n v="7"/>
    <x v="2"/>
    <n v="7"/>
    <s v="Moderate"/>
    <n v="6.5"/>
    <x v="1"/>
    <x v="0"/>
  </r>
  <r>
    <x v="345"/>
    <x v="1"/>
    <x v="5"/>
    <x v="10"/>
    <x v="1"/>
    <x v="1"/>
    <x v="4"/>
    <x v="3"/>
    <x v="1"/>
    <n v="5"/>
    <n v="3.3"/>
    <n v="7"/>
    <s v="Intermediate"/>
    <x v="18"/>
    <n v="63.59"/>
    <n v="5"/>
    <x v="0"/>
    <n v="5"/>
    <s v="High"/>
    <n v="5.6"/>
    <x v="2"/>
    <x v="0"/>
  </r>
  <r>
    <x v="346"/>
    <x v="0"/>
    <x v="10"/>
    <x v="6"/>
    <x v="1"/>
    <x v="1"/>
    <x v="3"/>
    <x v="1"/>
    <x v="1"/>
    <n v="48"/>
    <n v="20.399999999999999"/>
    <n v="19"/>
    <s v="Intermediate"/>
    <x v="37"/>
    <n v="160.65"/>
    <n v="8"/>
    <x v="1"/>
    <n v="6"/>
    <s v="Moderate"/>
    <n v="8.1999999999999993"/>
    <x v="0"/>
    <x v="3"/>
  </r>
  <r>
    <x v="347"/>
    <x v="0"/>
    <x v="5"/>
    <x v="6"/>
    <x v="2"/>
    <x v="5"/>
    <x v="3"/>
    <x v="0"/>
    <x v="7"/>
    <n v="53"/>
    <n v="26"/>
    <n v="-41.5"/>
    <s v="Advanced"/>
    <x v="69"/>
    <n v="141.11000000000001"/>
    <n v="7"/>
    <x v="1"/>
    <n v="6"/>
    <s v="High"/>
    <n v="6.7"/>
    <x v="0"/>
    <x v="3"/>
  </r>
  <r>
    <x v="348"/>
    <x v="2"/>
    <x v="13"/>
    <x v="7"/>
    <x v="0"/>
    <x v="4"/>
    <x v="3"/>
    <x v="0"/>
    <x v="5"/>
    <n v="81"/>
    <n v="2.2000000000000002"/>
    <n v="9.9"/>
    <s v="Advanced"/>
    <x v="4"/>
    <n v="53.54"/>
    <n v="8"/>
    <x v="2"/>
    <n v="7"/>
    <s v="Moderate"/>
    <n v="7.6"/>
    <x v="0"/>
    <x v="0"/>
  </r>
  <r>
    <x v="349"/>
    <x v="0"/>
    <x v="2"/>
    <x v="9"/>
    <x v="3"/>
    <x v="7"/>
    <x v="1"/>
    <x v="0"/>
    <x v="6"/>
    <n v="47"/>
    <n v="11.8"/>
    <n v="0.9"/>
    <s v="Intermediate"/>
    <x v="17"/>
    <n v="56.78"/>
    <n v="6"/>
    <x v="3"/>
    <n v="9"/>
    <s v="High"/>
    <n v="8.6999999999999993"/>
    <x v="3"/>
    <x v="0"/>
  </r>
  <r>
    <x v="350"/>
    <x v="2"/>
    <x v="8"/>
    <x v="6"/>
    <x v="3"/>
    <x v="4"/>
    <x v="3"/>
    <x v="0"/>
    <x v="0"/>
    <n v="56"/>
    <n v="5.8"/>
    <n v="26.4"/>
    <s v="Expert"/>
    <x v="27"/>
    <n v="54.09"/>
    <n v="8"/>
    <x v="2"/>
    <n v="10"/>
    <s v="Excellent"/>
    <n v="6.8"/>
    <x v="0"/>
    <x v="3"/>
  </r>
  <r>
    <x v="351"/>
    <x v="1"/>
    <x v="9"/>
    <x v="10"/>
    <x v="3"/>
    <x v="7"/>
    <x v="0"/>
    <x v="3"/>
    <x v="3"/>
    <n v="26"/>
    <n v="4.2"/>
    <n v="-2.2999999999999998"/>
    <n v="0"/>
    <x v="1"/>
    <n v="26.33"/>
    <n v="6"/>
    <x v="2"/>
    <n v="4"/>
    <s v="Low"/>
    <n v="8.9"/>
    <x v="2"/>
    <x v="1"/>
  </r>
  <r>
    <x v="352"/>
    <x v="0"/>
    <x v="18"/>
    <x v="3"/>
    <x v="3"/>
    <x v="3"/>
    <x v="2"/>
    <x v="2"/>
    <x v="0"/>
    <n v="6"/>
    <n v="0.3"/>
    <n v="-0.4"/>
    <s v="Beginner"/>
    <x v="4"/>
    <n v="13.82"/>
    <n v="6"/>
    <x v="0"/>
    <n v="4"/>
    <s v="Moderate"/>
    <n v="5.2"/>
    <x v="3"/>
    <x v="5"/>
  </r>
  <r>
    <x v="353"/>
    <x v="2"/>
    <x v="11"/>
    <x v="0"/>
    <x v="2"/>
    <x v="1"/>
    <x v="4"/>
    <x v="1"/>
    <x v="1"/>
    <n v="63"/>
    <n v="17.2"/>
    <n v="22.5"/>
    <s v="Expert"/>
    <x v="34"/>
    <n v="289.24"/>
    <n v="7"/>
    <x v="0"/>
    <n v="8"/>
    <s v="Excellent"/>
    <n v="3.9"/>
    <x v="0"/>
    <x v="3"/>
  </r>
  <r>
    <x v="354"/>
    <x v="1"/>
    <x v="7"/>
    <x v="6"/>
    <x v="2"/>
    <x v="7"/>
    <x v="6"/>
    <x v="3"/>
    <x v="6"/>
    <n v="4"/>
    <n v="1.1000000000000001"/>
    <n v="-5.7"/>
    <s v="Beginner"/>
    <x v="14"/>
    <n v="71.489999999999995"/>
    <n v="7"/>
    <x v="0"/>
    <n v="4"/>
    <s v="Low"/>
    <n v="9.6"/>
    <x v="3"/>
    <x v="1"/>
  </r>
  <r>
    <x v="355"/>
    <x v="2"/>
    <x v="14"/>
    <x v="6"/>
    <x v="0"/>
    <x v="1"/>
    <x v="2"/>
    <x v="1"/>
    <x v="7"/>
    <n v="106"/>
    <n v="26"/>
    <n v="28.6"/>
    <s v="Advanced"/>
    <x v="22"/>
    <n v="269.54000000000002"/>
    <n v="9"/>
    <x v="1"/>
    <n v="4"/>
    <s v="High"/>
    <n v="4.9000000000000004"/>
    <x v="1"/>
    <x v="3"/>
  </r>
  <r>
    <x v="356"/>
    <x v="1"/>
    <x v="5"/>
    <x v="8"/>
    <x v="1"/>
    <x v="1"/>
    <x v="0"/>
    <x v="0"/>
    <x v="1"/>
    <n v="9"/>
    <n v="6.5"/>
    <n v="10.4"/>
    <s v="Intermediate"/>
    <x v="5"/>
    <n v="160.72999999999999"/>
    <n v="7"/>
    <x v="2"/>
    <n v="5"/>
    <s v="Moderate"/>
    <n v="5.9"/>
    <x v="0"/>
    <x v="0"/>
  </r>
  <r>
    <x v="357"/>
    <x v="1"/>
    <x v="5"/>
    <x v="14"/>
    <x v="3"/>
    <x v="9"/>
    <x v="0"/>
    <x v="2"/>
    <x v="7"/>
    <n v="7"/>
    <n v="0.6"/>
    <n v="-9.5"/>
    <s v="Beginner"/>
    <x v="14"/>
    <n v="32.700000000000003"/>
    <n v="4"/>
    <x v="0"/>
    <n v="3"/>
    <s v="Low"/>
    <n v="12.2"/>
    <x v="2"/>
    <x v="5"/>
  </r>
  <r>
    <x v="358"/>
    <x v="2"/>
    <x v="5"/>
    <x v="1"/>
    <x v="0"/>
    <x v="5"/>
    <x v="3"/>
    <x v="0"/>
    <x v="6"/>
    <n v="23"/>
    <n v="4.5"/>
    <n v="21.7"/>
    <s v="Advanced"/>
    <x v="17"/>
    <n v="110.09"/>
    <n v="9"/>
    <x v="0"/>
    <n v="7"/>
    <s v="High"/>
    <n v="5.0999999999999996"/>
    <x v="2"/>
    <x v="3"/>
  </r>
  <r>
    <x v="359"/>
    <x v="2"/>
    <x v="11"/>
    <x v="6"/>
    <x v="3"/>
    <x v="12"/>
    <x v="0"/>
    <x v="0"/>
    <x v="0"/>
    <n v="27"/>
    <n v="3.4"/>
    <n v="21.2"/>
    <s v="Advanced"/>
    <x v="25"/>
    <n v="48.69"/>
    <n v="7"/>
    <x v="2"/>
    <n v="9"/>
    <s v="Excellent"/>
    <n v="2.5"/>
    <x v="0"/>
    <x v="3"/>
  </r>
  <r>
    <x v="360"/>
    <x v="0"/>
    <x v="8"/>
    <x v="0"/>
    <x v="1"/>
    <x v="7"/>
    <x v="1"/>
    <x v="3"/>
    <x v="7"/>
    <n v="21"/>
    <n v="4.8"/>
    <n v="-4.7"/>
    <s v="Intermediate"/>
    <x v="17"/>
    <n v="88.21"/>
    <n v="5"/>
    <x v="3"/>
    <n v="2"/>
    <s v="Low"/>
    <n v="17.2"/>
    <x v="0"/>
    <x v="5"/>
  </r>
  <r>
    <x v="361"/>
    <x v="0"/>
    <x v="5"/>
    <x v="5"/>
    <x v="0"/>
    <x v="8"/>
    <x v="3"/>
    <x v="0"/>
    <x v="2"/>
    <n v="47"/>
    <n v="4.3"/>
    <n v="-8.6999999999999993"/>
    <s v="Advanced"/>
    <x v="8"/>
    <n v="155.01"/>
    <n v="10"/>
    <x v="3"/>
    <n v="4"/>
    <s v="Moderate"/>
    <n v="17.3"/>
    <x v="2"/>
    <x v="5"/>
  </r>
  <r>
    <x v="362"/>
    <x v="2"/>
    <x v="5"/>
    <x v="0"/>
    <x v="0"/>
    <x v="13"/>
    <x v="4"/>
    <x v="1"/>
    <x v="2"/>
    <n v="55"/>
    <n v="4.8"/>
    <n v="23.2"/>
    <s v="Advanced"/>
    <x v="38"/>
    <n v="104.42"/>
    <n v="8"/>
    <x v="0"/>
    <n v="9"/>
    <s v="Excellent"/>
    <n v="6.7"/>
    <x v="0"/>
    <x v="0"/>
  </r>
  <r>
    <x v="363"/>
    <x v="0"/>
    <x v="5"/>
    <x v="3"/>
    <x v="2"/>
    <x v="9"/>
    <x v="4"/>
    <x v="3"/>
    <x v="7"/>
    <n v="29"/>
    <n v="17.600000000000001"/>
    <n v="20.6"/>
    <s v="Advanced"/>
    <x v="37"/>
    <n v="84.02"/>
    <n v="6"/>
    <x v="0"/>
    <n v="4"/>
    <s v="High"/>
    <n v="5.9"/>
    <x v="2"/>
    <x v="0"/>
  </r>
  <r>
    <x v="364"/>
    <x v="0"/>
    <x v="11"/>
    <x v="3"/>
    <x v="3"/>
    <x v="13"/>
    <x v="4"/>
    <x v="0"/>
    <x v="6"/>
    <n v="34"/>
    <n v="7.8"/>
    <n v="6.6"/>
    <s v="Intermediate"/>
    <x v="4"/>
    <n v="57.89"/>
    <n v="7"/>
    <x v="0"/>
    <n v="5"/>
    <s v="Moderate"/>
    <n v="8.4"/>
    <x v="3"/>
    <x v="0"/>
  </r>
  <r>
    <x v="365"/>
    <x v="0"/>
    <x v="1"/>
    <x v="4"/>
    <x v="3"/>
    <x v="19"/>
    <x v="6"/>
    <x v="3"/>
    <x v="3"/>
    <n v="23"/>
    <n v="3.8"/>
    <n v="8.5"/>
    <s v="Intermediate"/>
    <x v="36"/>
    <n v="28.85"/>
    <n v="7"/>
    <x v="0"/>
    <n v="4"/>
    <s v="Moderate"/>
    <n v="5.6"/>
    <x v="3"/>
    <x v="1"/>
  </r>
  <r>
    <x v="366"/>
    <x v="2"/>
    <x v="5"/>
    <x v="1"/>
    <x v="1"/>
    <x v="8"/>
    <x v="0"/>
    <x v="2"/>
    <x v="6"/>
    <n v="6"/>
    <n v="1.9"/>
    <n v="-0.1"/>
    <s v="Intermediate"/>
    <x v="68"/>
    <n v="25.32"/>
    <n v="6"/>
    <x v="1"/>
    <n v="7"/>
    <s v="Moderate"/>
    <n v="5.9"/>
    <x v="2"/>
    <x v="0"/>
  </r>
  <r>
    <x v="367"/>
    <x v="1"/>
    <x v="5"/>
    <x v="7"/>
    <x v="0"/>
    <x v="13"/>
    <x v="0"/>
    <x v="0"/>
    <x v="6"/>
    <n v="13"/>
    <n v="2"/>
    <n v="-4.5"/>
    <s v="Intermediate"/>
    <x v="42"/>
    <n v="112.25"/>
    <n v="4"/>
    <x v="3"/>
    <n v="5"/>
    <s v="Moderate"/>
    <n v="14.9"/>
    <x v="1"/>
    <x v="5"/>
  </r>
  <r>
    <x v="368"/>
    <x v="0"/>
    <x v="11"/>
    <x v="5"/>
    <x v="3"/>
    <x v="0"/>
    <x v="2"/>
    <x v="3"/>
    <x v="3"/>
    <n v="16"/>
    <n v="2.2000000000000002"/>
    <n v="0.9"/>
    <s v="Beginner"/>
    <x v="7"/>
    <n v="25.42"/>
    <n v="5"/>
    <x v="2"/>
    <n v="7"/>
    <s v="Low"/>
    <n v="12.4"/>
    <x v="0"/>
    <x v="0"/>
  </r>
  <r>
    <x v="369"/>
    <x v="1"/>
    <x v="2"/>
    <x v="5"/>
    <x v="1"/>
    <x v="4"/>
    <x v="3"/>
    <x v="2"/>
    <x v="5"/>
    <n v="5"/>
    <n v="0.5"/>
    <n v="4"/>
    <s v="Beginner"/>
    <x v="4"/>
    <n v="9.3000000000000007"/>
    <n v="2"/>
    <x v="2"/>
    <n v="4"/>
    <s v="Moderate"/>
    <n v="8.1999999999999993"/>
    <x v="0"/>
    <x v="1"/>
  </r>
  <r>
    <x v="370"/>
    <x v="2"/>
    <x v="5"/>
    <x v="10"/>
    <x v="2"/>
    <x v="13"/>
    <x v="2"/>
    <x v="1"/>
    <x v="7"/>
    <n v="38"/>
    <n v="5"/>
    <n v="35.1"/>
    <s v="Expert"/>
    <x v="35"/>
    <n v="164.75"/>
    <n v="10"/>
    <x v="2"/>
    <n v="8"/>
    <s v="Excellent"/>
    <n v="5.5"/>
    <x v="2"/>
    <x v="3"/>
  </r>
  <r>
    <x v="371"/>
    <x v="1"/>
    <x v="5"/>
    <x v="6"/>
    <x v="2"/>
    <x v="4"/>
    <x v="4"/>
    <x v="3"/>
    <x v="5"/>
    <n v="15"/>
    <n v="2.9"/>
    <n v="5.8"/>
    <s v="Intermediate"/>
    <x v="19"/>
    <n v="32.5"/>
    <n v="6"/>
    <x v="0"/>
    <n v="5"/>
    <s v="Low"/>
    <n v="11.5"/>
    <x v="0"/>
    <x v="1"/>
  </r>
  <r>
    <x v="372"/>
    <x v="0"/>
    <x v="2"/>
    <x v="10"/>
    <x v="2"/>
    <x v="4"/>
    <x v="4"/>
    <x v="3"/>
    <x v="5"/>
    <n v="21"/>
    <n v="2.7"/>
    <n v="3.5"/>
    <s v="Beginner"/>
    <x v="6"/>
    <n v="31.05"/>
    <n v="6"/>
    <x v="2"/>
    <n v="6"/>
    <s v="Moderate"/>
    <n v="7.1"/>
    <x v="0"/>
    <x v="0"/>
  </r>
  <r>
    <x v="373"/>
    <x v="1"/>
    <x v="11"/>
    <x v="8"/>
    <x v="0"/>
    <x v="4"/>
    <x v="0"/>
    <x v="0"/>
    <x v="0"/>
    <n v="45"/>
    <n v="8.8000000000000007"/>
    <n v="-16.2"/>
    <s v="Beginner"/>
    <x v="33"/>
    <n v="86.69"/>
    <n v="5"/>
    <x v="2"/>
    <n v="2"/>
    <s v="Low"/>
    <n v="12.3"/>
    <x v="2"/>
    <x v="5"/>
  </r>
  <r>
    <x v="374"/>
    <x v="0"/>
    <x v="12"/>
    <x v="10"/>
    <x v="2"/>
    <x v="10"/>
    <x v="3"/>
    <x v="3"/>
    <x v="3"/>
    <n v="13"/>
    <n v="4.7"/>
    <n v="18.899999999999999"/>
    <s v="Expert"/>
    <x v="57"/>
    <n v="30.15"/>
    <n v="10"/>
    <x v="2"/>
    <n v="6"/>
    <s v="High"/>
    <n v="8.9"/>
    <x v="2"/>
    <x v="3"/>
  </r>
  <r>
    <x v="375"/>
    <x v="2"/>
    <x v="9"/>
    <x v="3"/>
    <x v="1"/>
    <x v="2"/>
    <x v="3"/>
    <x v="1"/>
    <x v="3"/>
    <n v="53"/>
    <n v="23.2"/>
    <n v="35.6"/>
    <s v="Advanced"/>
    <x v="70"/>
    <n v="31.42"/>
    <n v="10"/>
    <x v="0"/>
    <n v="8"/>
    <s v="Excellent"/>
    <n v="11.3"/>
    <x v="3"/>
    <x v="3"/>
  </r>
  <r>
    <x v="376"/>
    <x v="2"/>
    <x v="14"/>
    <x v="8"/>
    <x v="0"/>
    <x v="7"/>
    <x v="3"/>
    <x v="0"/>
    <x v="7"/>
    <n v="95"/>
    <n v="23"/>
    <n v="36.5"/>
    <s v="Advanced"/>
    <x v="29"/>
    <n v="480.93"/>
    <n v="10"/>
    <x v="1"/>
    <n v="6"/>
    <s v="High"/>
    <n v="15.1"/>
    <x v="1"/>
    <x v="3"/>
  </r>
  <r>
    <x v="377"/>
    <x v="0"/>
    <x v="7"/>
    <x v="6"/>
    <x v="1"/>
    <x v="4"/>
    <x v="0"/>
    <x v="3"/>
    <x v="5"/>
    <n v="13"/>
    <n v="1.7"/>
    <n v="11.1"/>
    <s v="Beginner"/>
    <x v="7"/>
    <n v="46.54"/>
    <n v="0"/>
    <x v="2"/>
    <n v="5"/>
    <s v="Moderate"/>
    <n v="6.1"/>
    <x v="1"/>
    <x v="5"/>
  </r>
  <r>
    <x v="378"/>
    <x v="1"/>
    <x v="14"/>
    <x v="6"/>
    <x v="3"/>
    <x v="4"/>
    <x v="0"/>
    <x v="0"/>
    <x v="5"/>
    <n v="37"/>
    <n v="5.5"/>
    <n v="13"/>
    <s v="Intermediate"/>
    <x v="11"/>
    <n v="147.12"/>
    <n v="3"/>
    <x v="2"/>
    <n v="4"/>
    <s v="Moderate"/>
    <n v="14.6"/>
    <x v="1"/>
    <x v="1"/>
  </r>
  <r>
    <x v="379"/>
    <x v="2"/>
    <x v="2"/>
    <x v="6"/>
    <x v="2"/>
    <x v="8"/>
    <x v="3"/>
    <x v="1"/>
    <x v="7"/>
    <n v="75"/>
    <n v="12.9"/>
    <n v="7.2"/>
    <s v="Intermediate"/>
    <x v="18"/>
    <n v="199.73"/>
    <n v="7"/>
    <x v="2"/>
    <n v="8"/>
    <s v="Excellent"/>
    <n v="9.9"/>
    <x v="0"/>
    <x v="0"/>
  </r>
  <r>
    <x v="380"/>
    <x v="2"/>
    <x v="13"/>
    <x v="2"/>
    <x v="1"/>
    <x v="13"/>
    <x v="3"/>
    <x v="0"/>
    <x v="2"/>
    <n v="38"/>
    <n v="6.8"/>
    <n v="128.30000000000001"/>
    <s v="Advanced"/>
    <x v="43"/>
    <n v="66.430000000000007"/>
    <n v="9"/>
    <x v="3"/>
    <n v="5"/>
    <s v="High"/>
    <n v="8.8000000000000007"/>
    <x v="0"/>
    <x v="0"/>
  </r>
  <r>
    <x v="381"/>
    <x v="0"/>
    <x v="5"/>
    <x v="0"/>
    <x v="1"/>
    <x v="0"/>
    <x v="0"/>
    <x v="3"/>
    <x v="6"/>
    <n v="27"/>
    <n v="2.9"/>
    <n v="3.7"/>
    <s v="Advanced"/>
    <x v="19"/>
    <n v="46.22"/>
    <n v="8"/>
    <x v="0"/>
    <n v="5"/>
    <s v="Moderate"/>
    <n v="7"/>
    <x v="2"/>
    <x v="0"/>
  </r>
  <r>
    <x v="382"/>
    <x v="0"/>
    <x v="18"/>
    <x v="6"/>
    <x v="0"/>
    <x v="13"/>
    <x v="0"/>
    <x v="3"/>
    <x v="2"/>
    <n v="35"/>
    <n v="7"/>
    <n v="12.3"/>
    <s v="Beginner"/>
    <x v="33"/>
    <n v="25.66"/>
    <n v="3"/>
    <x v="0"/>
    <n v="4"/>
    <s v="Low"/>
    <n v="14.9"/>
    <x v="3"/>
    <x v="0"/>
  </r>
  <r>
    <x v="383"/>
    <x v="2"/>
    <x v="1"/>
    <x v="7"/>
    <x v="2"/>
    <x v="1"/>
    <x v="4"/>
    <x v="2"/>
    <x v="1"/>
    <n v="7"/>
    <n v="2.1"/>
    <n v="-3.2"/>
    <s v="Intermediate"/>
    <x v="19"/>
    <n v="32.47"/>
    <n v="5"/>
    <x v="0"/>
    <n v="0"/>
    <s v="Moderate"/>
    <n v="5.4"/>
    <x v="1"/>
    <x v="1"/>
  </r>
  <r>
    <x v="384"/>
    <x v="0"/>
    <x v="5"/>
    <x v="0"/>
    <x v="1"/>
    <x v="11"/>
    <x v="3"/>
    <x v="2"/>
    <x v="2"/>
    <n v="8"/>
    <n v="0.8"/>
    <n v="-3.9"/>
    <s v="Beginner"/>
    <x v="13"/>
    <n v="22.74"/>
    <n v="4"/>
    <x v="3"/>
    <n v="4"/>
    <s v="Low"/>
    <n v="10.9"/>
    <x v="2"/>
    <x v="1"/>
  </r>
  <r>
    <x v="385"/>
    <x v="1"/>
    <x v="5"/>
    <x v="0"/>
    <x v="2"/>
    <x v="13"/>
    <x v="0"/>
    <x v="3"/>
    <x v="1"/>
    <n v="23"/>
    <n v="5.2"/>
    <n v="5"/>
    <s v="Intermediate"/>
    <x v="6"/>
    <n v="78.31"/>
    <n v="5"/>
    <x v="2"/>
    <n v="6"/>
    <s v="Moderate"/>
    <n v="4"/>
    <x v="2"/>
    <x v="0"/>
  </r>
  <r>
    <x v="386"/>
    <x v="1"/>
    <x v="18"/>
    <x v="0"/>
    <x v="1"/>
    <x v="8"/>
    <x v="0"/>
    <x v="2"/>
    <x v="2"/>
    <n v="22"/>
    <n v="2.6"/>
    <n v="9.9"/>
    <s v="Intermediate"/>
    <x v="14"/>
    <n v="23.64"/>
    <n v="4"/>
    <x v="2"/>
    <n v="4"/>
    <s v="Moderate"/>
    <n v="6.2"/>
    <x v="2"/>
    <x v="1"/>
  </r>
  <r>
    <x v="387"/>
    <x v="0"/>
    <x v="14"/>
    <x v="6"/>
    <x v="3"/>
    <x v="13"/>
    <x v="1"/>
    <x v="0"/>
    <x v="7"/>
    <n v="57"/>
    <n v="3.6"/>
    <n v="3.5"/>
    <s v="Intermediate"/>
    <x v="26"/>
    <n v="57.4"/>
    <n v="5"/>
    <x v="2"/>
    <n v="5"/>
    <s v="Moderate"/>
    <n v="9"/>
    <x v="0"/>
    <x v="1"/>
  </r>
  <r>
    <x v="388"/>
    <x v="1"/>
    <x v="5"/>
    <x v="9"/>
    <x v="1"/>
    <x v="12"/>
    <x v="0"/>
    <x v="2"/>
    <x v="4"/>
    <n v="7"/>
    <n v="1.2"/>
    <n v="-6.9"/>
    <s v="Beginner"/>
    <x v="32"/>
    <n v="10.61"/>
    <n v="6"/>
    <x v="2"/>
    <n v="5"/>
    <s v="Low"/>
    <n v="6.2"/>
    <x v="0"/>
    <x v="0"/>
  </r>
  <r>
    <x v="389"/>
    <x v="2"/>
    <x v="9"/>
    <x v="5"/>
    <x v="0"/>
    <x v="4"/>
    <x v="0"/>
    <x v="0"/>
    <x v="5"/>
    <n v="51"/>
    <n v="3.2"/>
    <n v="-5.0999999999999996"/>
    <s v="Intermediate"/>
    <x v="4"/>
    <n v="65.02"/>
    <n v="4"/>
    <x v="3"/>
    <n v="5"/>
    <s v="Moderate"/>
    <n v="10.4"/>
    <x v="0"/>
    <x v="1"/>
  </r>
  <r>
    <x v="390"/>
    <x v="2"/>
    <x v="1"/>
    <x v="6"/>
    <x v="0"/>
    <x v="1"/>
    <x v="3"/>
    <x v="1"/>
    <x v="1"/>
    <n v="51"/>
    <n v="6.5"/>
    <n v="12.9"/>
    <s v="Advanced"/>
    <x v="24"/>
    <n v="74.5"/>
    <n v="9"/>
    <x v="0"/>
    <n v="9"/>
    <s v="Excellent"/>
    <n v="5.9"/>
    <x v="3"/>
    <x v="0"/>
  </r>
  <r>
    <x v="391"/>
    <x v="2"/>
    <x v="9"/>
    <x v="6"/>
    <x v="0"/>
    <x v="12"/>
    <x v="1"/>
    <x v="1"/>
    <x v="4"/>
    <n v="125"/>
    <n v="12.4"/>
    <n v="21.1"/>
    <s v="Advanced"/>
    <x v="4"/>
    <n v="123.41"/>
    <n v="6"/>
    <x v="3"/>
    <n v="7"/>
    <s v="High"/>
    <n v="9.6999999999999993"/>
    <x v="1"/>
    <x v="0"/>
  </r>
  <r>
    <x v="392"/>
    <x v="2"/>
    <x v="18"/>
    <x v="8"/>
    <x v="2"/>
    <x v="8"/>
    <x v="3"/>
    <x v="0"/>
    <x v="2"/>
    <n v="32"/>
    <n v="5.7"/>
    <n v="9.8000000000000007"/>
    <s v="Beginner"/>
    <x v="11"/>
    <n v="32.700000000000003"/>
    <n v="0"/>
    <x v="2"/>
    <n v="6"/>
    <s v="Moderate"/>
    <n v="8.4"/>
    <x v="3"/>
    <x v="1"/>
  </r>
  <r>
    <x v="393"/>
    <x v="2"/>
    <x v="0"/>
    <x v="12"/>
    <x v="1"/>
    <x v="5"/>
    <x v="3"/>
    <x v="1"/>
    <x v="2"/>
    <n v="71"/>
    <n v="26"/>
    <n v="25.9"/>
    <s v="Expert"/>
    <x v="10"/>
    <n v="126.23"/>
    <n v="10"/>
    <x v="1"/>
    <n v="6"/>
    <s v="Excellent"/>
    <n v="6.2"/>
    <x v="0"/>
    <x v="3"/>
  </r>
  <r>
    <x v="394"/>
    <x v="2"/>
    <x v="7"/>
    <x v="3"/>
    <x v="1"/>
    <x v="9"/>
    <x v="2"/>
    <x v="0"/>
    <x v="0"/>
    <n v="92"/>
    <n v="5.9"/>
    <n v="0"/>
    <s v="Intermediate"/>
    <x v="24"/>
    <n v="67.13"/>
    <n v="7"/>
    <x v="2"/>
    <n v="5"/>
    <s v="High"/>
    <n v="6.7"/>
    <x v="3"/>
    <x v="1"/>
  </r>
  <r>
    <x v="395"/>
    <x v="1"/>
    <x v="11"/>
    <x v="6"/>
    <x v="1"/>
    <x v="0"/>
    <x v="3"/>
    <x v="3"/>
    <x v="7"/>
    <n v="18"/>
    <n v="3.9"/>
    <n v="-7.8"/>
    <s v="Beginner"/>
    <x v="18"/>
    <n v="115.72"/>
    <n v="3"/>
    <x v="2"/>
    <n v="3"/>
    <s v="Low"/>
    <n v="11.8"/>
    <x v="1"/>
    <x v="5"/>
  </r>
  <r>
    <x v="396"/>
    <x v="0"/>
    <x v="5"/>
    <x v="1"/>
    <x v="1"/>
    <x v="5"/>
    <x v="3"/>
    <x v="3"/>
    <x v="6"/>
    <n v="12"/>
    <n v="1.5"/>
    <n v="18.3"/>
    <s v="Novice"/>
    <x v="36"/>
    <n v="15.25"/>
    <n v="9"/>
    <x v="0"/>
    <n v="6"/>
    <s v="Moderate"/>
    <n v="9.3000000000000007"/>
    <x v="1"/>
    <x v="3"/>
  </r>
  <r>
    <x v="397"/>
    <x v="2"/>
    <x v="1"/>
    <x v="6"/>
    <x v="3"/>
    <x v="0"/>
    <x v="1"/>
    <x v="3"/>
    <x v="3"/>
    <n v="0"/>
    <n v="3.5"/>
    <n v="7.7"/>
    <s v="Intermediate"/>
    <x v="42"/>
    <n v="13.97"/>
    <n v="7"/>
    <x v="0"/>
    <n v="6"/>
    <s v="Moderate"/>
    <n v="12.6"/>
    <x v="3"/>
    <x v="1"/>
  </r>
  <r>
    <x v="398"/>
    <x v="2"/>
    <x v="2"/>
    <x v="8"/>
    <x v="1"/>
    <x v="8"/>
    <x v="3"/>
    <x v="1"/>
    <x v="0"/>
    <n v="73"/>
    <n v="11.2"/>
    <n v="20.6"/>
    <s v="Expert"/>
    <x v="23"/>
    <n v="122.94"/>
    <n v="8"/>
    <x v="0"/>
    <n v="8"/>
    <s v="Moderate"/>
    <n v="7"/>
    <x v="2"/>
    <x v="3"/>
  </r>
  <r>
    <x v="399"/>
    <x v="0"/>
    <x v="8"/>
    <x v="2"/>
    <x v="1"/>
    <x v="6"/>
    <x v="0"/>
    <x v="3"/>
    <x v="6"/>
    <n v="10"/>
    <n v="2.4"/>
    <n v="0.5"/>
    <s v="Beginner"/>
    <x v="7"/>
    <n v="60.19"/>
    <n v="4"/>
    <x v="2"/>
    <n v="3"/>
    <s v="Low"/>
    <n v="16.3"/>
    <x v="0"/>
    <x v="1"/>
  </r>
  <r>
    <x v="400"/>
    <x v="0"/>
    <x v="3"/>
    <x v="7"/>
    <x v="1"/>
    <x v="8"/>
    <x v="0"/>
    <x v="2"/>
    <x v="6"/>
    <n v="3"/>
    <n v="0.9"/>
    <n v="6.4"/>
    <s v="Beginner"/>
    <x v="18"/>
    <n v="25.45"/>
    <n v="6"/>
    <x v="0"/>
    <n v="5"/>
    <s v="Moderate"/>
    <n v="16.2"/>
    <x v="3"/>
    <x v="1"/>
  </r>
  <r>
    <x v="401"/>
    <x v="0"/>
    <x v="3"/>
    <x v="10"/>
    <x v="1"/>
    <x v="8"/>
    <x v="0"/>
    <x v="3"/>
    <x v="4"/>
    <n v="16"/>
    <n v="4.5999999999999996"/>
    <n v="14.5"/>
    <s v="Beginner"/>
    <x v="11"/>
    <n v="30.08"/>
    <n v="8"/>
    <x v="0"/>
    <n v="4"/>
    <s v="Moderate"/>
    <n v="7.8"/>
    <x v="0"/>
    <x v="3"/>
  </r>
  <r>
    <x v="402"/>
    <x v="0"/>
    <x v="8"/>
    <x v="7"/>
    <x v="1"/>
    <x v="9"/>
    <x v="4"/>
    <x v="3"/>
    <x v="0"/>
    <n v="15"/>
    <n v="7.2"/>
    <n v="19.399999999999999"/>
    <s v="Intermediate"/>
    <x v="42"/>
    <n v="58.2"/>
    <n v="7"/>
    <x v="0"/>
    <n v="7"/>
    <s v="High"/>
    <n v="7.6"/>
    <x v="2"/>
    <x v="0"/>
  </r>
  <r>
    <x v="403"/>
    <x v="1"/>
    <x v="3"/>
    <x v="6"/>
    <x v="2"/>
    <x v="9"/>
    <x v="3"/>
    <x v="3"/>
    <x v="4"/>
    <n v="6"/>
    <n v="0.7"/>
    <n v="-17.899999999999999"/>
    <s v="Beginner"/>
    <x v="13"/>
    <n v="35.04"/>
    <n v="6"/>
    <x v="0"/>
    <n v="6"/>
    <s v="Moderate"/>
    <n v="7.7"/>
    <x v="3"/>
    <x v="1"/>
  </r>
  <r>
    <x v="404"/>
    <x v="1"/>
    <x v="11"/>
    <x v="10"/>
    <x v="3"/>
    <x v="12"/>
    <x v="1"/>
    <x v="4"/>
    <x v="8"/>
    <n v="0"/>
    <n v="0"/>
    <n v="0.4"/>
    <s v="Beginner"/>
    <x v="36"/>
    <n v="0"/>
    <n v="4"/>
    <x v="3"/>
    <n v="3"/>
    <s v="Low"/>
    <m/>
    <x v="3"/>
    <x v="5"/>
  </r>
  <r>
    <x v="405"/>
    <x v="2"/>
    <x v="14"/>
    <x v="7"/>
    <x v="3"/>
    <x v="0"/>
    <x v="1"/>
    <x v="0"/>
    <x v="0"/>
    <n v="58"/>
    <n v="7.1"/>
    <n v="-6.5"/>
    <s v="Advanced"/>
    <x v="4"/>
    <n v="79.08"/>
    <n v="7"/>
    <x v="0"/>
    <n v="6"/>
    <s v="High"/>
    <n v="9"/>
    <x v="2"/>
    <x v="0"/>
  </r>
  <r>
    <x v="406"/>
    <x v="0"/>
    <x v="8"/>
    <x v="1"/>
    <x v="0"/>
    <x v="5"/>
    <x v="3"/>
    <x v="3"/>
    <x v="7"/>
    <n v="19"/>
    <n v="2.2999999999999998"/>
    <n v="3.4"/>
    <s v="Intermediate"/>
    <x v="5"/>
    <n v="115.27"/>
    <n v="9"/>
    <x v="0"/>
    <n v="7"/>
    <s v="High"/>
    <n v="8.3000000000000007"/>
    <x v="2"/>
    <x v="0"/>
  </r>
  <r>
    <x v="407"/>
    <x v="1"/>
    <x v="9"/>
    <x v="0"/>
    <x v="0"/>
    <x v="0"/>
    <x v="0"/>
    <x v="2"/>
    <x v="6"/>
    <n v="6"/>
    <n v="0.7"/>
    <n v="-3.3"/>
    <s v="Beginner"/>
    <x v="10"/>
    <n v="14.27"/>
    <n v="4"/>
    <x v="3"/>
    <n v="5"/>
    <s v="Low"/>
    <n v="11.9"/>
    <x v="3"/>
    <x v="5"/>
  </r>
  <r>
    <x v="408"/>
    <x v="0"/>
    <x v="16"/>
    <x v="10"/>
    <x v="1"/>
    <x v="9"/>
    <x v="4"/>
    <x v="3"/>
    <x v="4"/>
    <n v="25"/>
    <n v="2.8"/>
    <n v="1"/>
    <s v="Intermediate"/>
    <x v="13"/>
    <n v="29.79"/>
    <n v="6"/>
    <x v="0"/>
    <n v="6"/>
    <s v="Moderate"/>
    <n v="15.1"/>
    <x v="2"/>
    <x v="1"/>
  </r>
  <r>
    <x v="409"/>
    <x v="2"/>
    <x v="1"/>
    <x v="0"/>
    <x v="0"/>
    <x v="4"/>
    <x v="3"/>
    <x v="1"/>
    <x v="7"/>
    <n v="105"/>
    <n v="15.4"/>
    <n v="29.8"/>
    <s v="Advanced"/>
    <x v="41"/>
    <n v="296.23"/>
    <n v="7"/>
    <x v="3"/>
    <n v="5"/>
    <s v="Excellent"/>
    <n v="15.1"/>
    <x v="1"/>
    <x v="0"/>
  </r>
  <r>
    <x v="410"/>
    <x v="1"/>
    <x v="18"/>
    <x v="6"/>
    <x v="0"/>
    <x v="13"/>
    <x v="0"/>
    <x v="1"/>
    <x v="2"/>
    <n v="131"/>
    <n v="24.7"/>
    <n v="29.2"/>
    <s v="Advanced"/>
    <x v="10"/>
    <n v="63.4"/>
    <n v="8"/>
    <x v="1"/>
    <n v="8"/>
    <s v="High"/>
    <n v="4"/>
    <x v="0"/>
    <x v="3"/>
  </r>
  <r>
    <x v="411"/>
    <x v="2"/>
    <x v="10"/>
    <x v="0"/>
    <x v="1"/>
    <x v="0"/>
    <x v="0"/>
    <x v="0"/>
    <x v="0"/>
    <n v="15"/>
    <n v="3.3"/>
    <n v="3.1"/>
    <s v="Intermediate"/>
    <x v="4"/>
    <n v="43.23"/>
    <n v="4"/>
    <x v="3"/>
    <n v="5"/>
    <s v="High"/>
    <n v="10.4"/>
    <x v="3"/>
    <x v="5"/>
  </r>
  <r>
    <x v="412"/>
    <x v="2"/>
    <x v="12"/>
    <x v="10"/>
    <x v="0"/>
    <x v="12"/>
    <x v="3"/>
    <x v="3"/>
    <x v="4"/>
    <n v="45"/>
    <n v="3"/>
    <n v="15.3"/>
    <s v="Advanced"/>
    <x v="57"/>
    <n v="50.39"/>
    <n v="9"/>
    <x v="2"/>
    <n v="8"/>
    <s v="High"/>
    <n v="5.0999999999999996"/>
    <x v="0"/>
    <x v="0"/>
  </r>
  <r>
    <x v="413"/>
    <x v="2"/>
    <x v="1"/>
    <x v="9"/>
    <x v="1"/>
    <x v="14"/>
    <x v="1"/>
    <x v="2"/>
    <x v="3"/>
    <n v="4"/>
    <n v="2"/>
    <n v="0.1"/>
    <s v="Advanced"/>
    <x v="42"/>
    <n v="0"/>
    <n v="5"/>
    <x v="2"/>
    <n v="6"/>
    <s v="High"/>
    <n v="10.4"/>
    <x v="2"/>
    <x v="1"/>
  </r>
  <r>
    <x v="414"/>
    <x v="2"/>
    <x v="2"/>
    <x v="10"/>
    <x v="0"/>
    <x v="14"/>
    <x v="3"/>
    <x v="0"/>
    <x v="3"/>
    <n v="8"/>
    <n v="1.1000000000000001"/>
    <n v="6.3"/>
    <s v="Beginner"/>
    <x v="18"/>
    <n v="73"/>
    <n v="8"/>
    <x v="2"/>
    <n v="6"/>
    <s v="Moderate"/>
    <n v="6.6"/>
    <x v="0"/>
    <x v="0"/>
  </r>
  <r>
    <x v="415"/>
    <x v="0"/>
    <x v="2"/>
    <x v="8"/>
    <x v="1"/>
    <x v="12"/>
    <x v="0"/>
    <x v="1"/>
    <x v="4"/>
    <n v="67"/>
    <n v="10.7"/>
    <n v="25.1"/>
    <s v="Intermediate"/>
    <x v="6"/>
    <n v="78"/>
    <n v="9"/>
    <x v="1"/>
    <n v="7"/>
    <s v="Moderate"/>
    <n v="5.3"/>
    <x v="3"/>
    <x v="3"/>
  </r>
  <r>
    <x v="416"/>
    <x v="0"/>
    <x v="0"/>
    <x v="4"/>
    <x v="3"/>
    <x v="8"/>
    <x v="0"/>
    <x v="0"/>
    <x v="2"/>
    <n v="41"/>
    <n v="33.1"/>
    <n v="-3.2"/>
    <s v="Intermediate"/>
    <x v="33"/>
    <n v="95.42"/>
    <n v="4"/>
    <x v="2"/>
    <n v="5"/>
    <s v="Moderate"/>
    <n v="8.6"/>
    <x v="0"/>
    <x v="1"/>
  </r>
  <r>
    <x v="417"/>
    <x v="0"/>
    <x v="18"/>
    <x v="5"/>
    <x v="1"/>
    <x v="5"/>
    <x v="0"/>
    <x v="1"/>
    <x v="6"/>
    <n v="101"/>
    <n v="4.9000000000000004"/>
    <n v="22.6"/>
    <s v="Intermediate"/>
    <x v="24"/>
    <n v="41.87"/>
    <n v="7"/>
    <x v="0"/>
    <n v="7"/>
    <s v="Excellent"/>
    <n v="6.3"/>
    <x v="3"/>
    <x v="0"/>
  </r>
  <r>
    <x v="418"/>
    <x v="1"/>
    <x v="5"/>
    <x v="9"/>
    <x v="0"/>
    <x v="13"/>
    <x v="0"/>
    <x v="0"/>
    <x v="7"/>
    <n v="64"/>
    <n v="10.199999999999999"/>
    <n v="2.7"/>
    <s v="Advanced"/>
    <x v="19"/>
    <n v="441.52"/>
    <n v="7"/>
    <x v="0"/>
    <n v="6"/>
    <s v="Moderate"/>
    <n v="6.4"/>
    <x v="2"/>
    <x v="0"/>
  </r>
  <r>
    <x v="419"/>
    <x v="2"/>
    <x v="1"/>
    <x v="3"/>
    <x v="3"/>
    <x v="9"/>
    <x v="3"/>
    <x v="3"/>
    <x v="6"/>
    <n v="14"/>
    <n v="4.0999999999999996"/>
    <n v="0.9"/>
    <s v="Intermediate"/>
    <x v="12"/>
    <n v="61.23"/>
    <n v="6"/>
    <x v="2"/>
    <n v="5"/>
    <s v="Moderate"/>
    <n v="14.8"/>
    <x v="2"/>
    <x v="1"/>
  </r>
  <r>
    <x v="420"/>
    <x v="2"/>
    <x v="5"/>
    <x v="4"/>
    <x v="0"/>
    <x v="4"/>
    <x v="4"/>
    <x v="0"/>
    <x v="5"/>
    <n v="77"/>
    <n v="21.4"/>
    <n v="24"/>
    <s v="Expert"/>
    <x v="40"/>
    <n v="88.6"/>
    <n v="10"/>
    <x v="2"/>
    <n v="7"/>
    <s v="Excellent"/>
    <n v="9.1999999999999993"/>
    <x v="2"/>
    <x v="3"/>
  </r>
  <r>
    <x v="421"/>
    <x v="2"/>
    <x v="8"/>
    <x v="9"/>
    <x v="0"/>
    <x v="0"/>
    <x v="4"/>
    <x v="0"/>
    <x v="3"/>
    <n v="35"/>
    <n v="3.7"/>
    <n v="4.2"/>
    <s v="Intermediate"/>
    <x v="23"/>
    <n v="31.37"/>
    <n v="6"/>
    <x v="0"/>
    <n v="0"/>
    <s v="Moderate"/>
    <n v="6.9"/>
    <x v="0"/>
    <x v="1"/>
  </r>
  <r>
    <x v="422"/>
    <x v="2"/>
    <x v="2"/>
    <x v="0"/>
    <x v="1"/>
    <x v="3"/>
    <x v="1"/>
    <x v="0"/>
    <x v="0"/>
    <n v="107"/>
    <n v="24"/>
    <n v="33.200000000000003"/>
    <s v="Intermediate"/>
    <x v="6"/>
    <n v="77.61"/>
    <n v="5"/>
    <x v="0"/>
    <n v="5"/>
    <s v="Moderate"/>
    <n v="7.4"/>
    <x v="0"/>
    <x v="0"/>
  </r>
  <r>
    <x v="423"/>
    <x v="0"/>
    <x v="16"/>
    <x v="10"/>
    <x v="0"/>
    <x v="3"/>
    <x v="0"/>
    <x v="2"/>
    <x v="3"/>
    <n v="9"/>
    <n v="1.7"/>
    <n v="5.8"/>
    <s v="Intermediate"/>
    <x v="4"/>
    <n v="9.6199999999999992"/>
    <n v="5"/>
    <x v="1"/>
    <n v="5"/>
    <s v="Moderate"/>
    <n v="6.2"/>
    <x v="3"/>
    <x v="1"/>
  </r>
  <r>
    <x v="424"/>
    <x v="2"/>
    <x v="0"/>
    <x v="15"/>
    <x v="1"/>
    <x v="9"/>
    <x v="1"/>
    <x v="2"/>
    <x v="3"/>
    <n v="8"/>
    <n v="2.2999999999999998"/>
    <n v="23.1"/>
    <s v="Advanced"/>
    <x v="23"/>
    <n v="17.63"/>
    <n v="7"/>
    <x v="2"/>
    <n v="7"/>
    <s v="High"/>
    <n v="5.3"/>
    <x v="1"/>
    <x v="0"/>
  </r>
  <r>
    <x v="425"/>
    <x v="2"/>
    <x v="7"/>
    <x v="6"/>
    <x v="3"/>
    <x v="7"/>
    <x v="3"/>
    <x v="0"/>
    <x v="7"/>
    <n v="62"/>
    <n v="6"/>
    <n v="-8.1"/>
    <s v="Intermediate"/>
    <x v="4"/>
    <n v="143.36000000000001"/>
    <n v="3"/>
    <x v="2"/>
    <n v="7"/>
    <s v="Moderate"/>
    <n v="8.6"/>
    <x v="1"/>
    <x v="5"/>
  </r>
  <r>
    <x v="426"/>
    <x v="1"/>
    <x v="2"/>
    <x v="9"/>
    <x v="2"/>
    <x v="13"/>
    <x v="0"/>
    <x v="2"/>
    <x v="6"/>
    <n v="3"/>
    <n v="1.5"/>
    <n v="-2.2999999999999998"/>
    <s v="Beginner"/>
    <x v="4"/>
    <n v="26.47"/>
    <n v="5"/>
    <x v="2"/>
    <n v="5"/>
    <s v="Low"/>
    <n v="17.399999999999999"/>
    <x v="1"/>
    <x v="5"/>
  </r>
  <r>
    <x v="427"/>
    <x v="0"/>
    <x v="5"/>
    <x v="7"/>
    <x v="1"/>
    <x v="1"/>
    <x v="1"/>
    <x v="3"/>
    <x v="1"/>
    <n v="8"/>
    <n v="3"/>
    <n v="11.5"/>
    <s v="Intermediate"/>
    <x v="36"/>
    <n v="45.36"/>
    <n v="7"/>
    <x v="0"/>
    <n v="6"/>
    <s v="Moderate"/>
    <n v="9.5"/>
    <x v="2"/>
    <x v="0"/>
  </r>
  <r>
    <x v="428"/>
    <x v="2"/>
    <x v="1"/>
    <x v="5"/>
    <x v="3"/>
    <x v="3"/>
    <x v="3"/>
    <x v="3"/>
    <x v="4"/>
    <n v="17"/>
    <n v="2.9"/>
    <n v="7.3"/>
    <s v="Intermediate"/>
    <x v="24"/>
    <n v="11.78"/>
    <n v="6"/>
    <x v="3"/>
    <n v="4"/>
    <s v="High"/>
    <n v="6.4"/>
    <x v="1"/>
    <x v="1"/>
  </r>
  <r>
    <x v="429"/>
    <x v="1"/>
    <x v="12"/>
    <x v="9"/>
    <x v="3"/>
    <x v="14"/>
    <x v="3"/>
    <x v="2"/>
    <x v="3"/>
    <n v="5"/>
    <n v="1.5"/>
    <n v="0"/>
    <s v="Beginner"/>
    <x v="16"/>
    <n v="11.14"/>
    <n v="6"/>
    <x v="0"/>
    <n v="4"/>
    <s v="Low"/>
    <n v="17.5"/>
    <x v="2"/>
    <x v="5"/>
  </r>
  <r>
    <x v="430"/>
    <x v="0"/>
    <x v="16"/>
    <x v="3"/>
    <x v="1"/>
    <x v="1"/>
    <x v="3"/>
    <x v="3"/>
    <x v="7"/>
    <n v="18"/>
    <n v="5.9"/>
    <n v="9.3000000000000007"/>
    <s v="Intermediate"/>
    <x v="70"/>
    <n v="63.11"/>
    <n v="5"/>
    <x v="2"/>
    <n v="5"/>
    <s v="Moderate"/>
    <n v="13.6"/>
    <x v="0"/>
    <x v="0"/>
  </r>
  <r>
    <x v="431"/>
    <x v="0"/>
    <x v="13"/>
    <x v="6"/>
    <x v="0"/>
    <x v="0"/>
    <x v="1"/>
    <x v="3"/>
    <x v="7"/>
    <n v="26"/>
    <n v="8"/>
    <n v="27.4"/>
    <s v="Expert"/>
    <x v="10"/>
    <n v="112.12"/>
    <n v="7"/>
    <x v="1"/>
    <n v="6"/>
    <s v="High"/>
    <n v="11"/>
    <x v="2"/>
    <x v="0"/>
  </r>
  <r>
    <x v="432"/>
    <x v="0"/>
    <x v="5"/>
    <x v="4"/>
    <x v="9"/>
    <x v="7"/>
    <x v="0"/>
    <x v="0"/>
    <x v="3"/>
    <n v="26"/>
    <n v="4.5999999999999996"/>
    <n v="7.4"/>
    <s v="Intermediate"/>
    <x v="29"/>
    <n v="131.94"/>
    <n v="7"/>
    <x v="0"/>
    <n v="6"/>
    <s v="High"/>
    <n v="9.5"/>
    <x v="0"/>
    <x v="1"/>
  </r>
  <r>
    <x v="433"/>
    <x v="2"/>
    <x v="7"/>
    <x v="1"/>
    <x v="2"/>
    <x v="13"/>
    <x v="0"/>
    <x v="1"/>
    <x v="0"/>
    <n v="64"/>
    <n v="12.3"/>
    <n v="23.9"/>
    <s v="Expert"/>
    <x v="43"/>
    <n v="113.8"/>
    <n v="9"/>
    <x v="3"/>
    <n v="8"/>
    <s v="High"/>
    <n v="7.9"/>
    <x v="0"/>
    <x v="0"/>
  </r>
  <r>
    <x v="434"/>
    <x v="0"/>
    <x v="5"/>
    <x v="5"/>
    <x v="0"/>
    <x v="1"/>
    <x v="3"/>
    <x v="0"/>
    <x v="1"/>
    <n v="35"/>
    <n v="9.6999999999999993"/>
    <n v="12.3"/>
    <s v="Advanced"/>
    <x v="10"/>
    <n v="321.14999999999998"/>
    <n v="6"/>
    <x v="2"/>
    <n v="7"/>
    <s v="High"/>
    <n v="7.3"/>
    <x v="2"/>
    <x v="0"/>
  </r>
  <r>
    <x v="435"/>
    <x v="1"/>
    <x v="8"/>
    <x v="1"/>
    <x v="2"/>
    <x v="1"/>
    <x v="4"/>
    <x v="3"/>
    <x v="1"/>
    <n v="10"/>
    <n v="0.5"/>
    <n v="1.7"/>
    <s v="Intermediate"/>
    <x v="33"/>
    <n v="55.23"/>
    <n v="7"/>
    <x v="0"/>
    <n v="6"/>
    <s v="Moderate"/>
    <n v="9.9"/>
    <x v="0"/>
    <x v="1"/>
  </r>
  <r>
    <x v="436"/>
    <x v="2"/>
    <x v="2"/>
    <x v="4"/>
    <x v="0"/>
    <x v="6"/>
    <x v="3"/>
    <x v="0"/>
    <x v="7"/>
    <n v="89"/>
    <n v="18.2"/>
    <n v="34.700000000000003"/>
    <s v="Expert"/>
    <x v="35"/>
    <n v="234.82"/>
    <n v="10"/>
    <x v="1"/>
    <n v="7"/>
    <s v="Excellent"/>
    <n v="6"/>
    <x v="2"/>
    <x v="3"/>
  </r>
  <r>
    <x v="437"/>
    <x v="1"/>
    <x v="9"/>
    <x v="5"/>
    <x v="3"/>
    <x v="11"/>
    <x v="3"/>
    <x v="0"/>
    <x v="2"/>
    <n v="38"/>
    <n v="12.9"/>
    <n v="21.2"/>
    <s v="Intermediate"/>
    <x v="6"/>
    <n v="0"/>
    <n v="6"/>
    <x v="0"/>
    <n v="6"/>
    <s v="Moderate"/>
    <n v="6.7"/>
    <x v="0"/>
    <x v="3"/>
  </r>
  <r>
    <x v="438"/>
    <x v="2"/>
    <x v="2"/>
    <x v="6"/>
    <x v="2"/>
    <x v="1"/>
    <x v="0"/>
    <x v="1"/>
    <x v="1"/>
    <n v="17"/>
    <n v="5.2"/>
    <n v="3.3"/>
    <s v="Advanced"/>
    <x v="19"/>
    <n v="108.36"/>
    <n v="6"/>
    <x v="3"/>
    <n v="9"/>
    <s v="Excellent"/>
    <n v="4"/>
    <x v="3"/>
    <x v="0"/>
  </r>
  <r>
    <x v="439"/>
    <x v="1"/>
    <x v="8"/>
    <x v="5"/>
    <x v="1"/>
    <x v="0"/>
    <x v="2"/>
    <x v="2"/>
    <x v="7"/>
    <n v="5"/>
    <n v="3"/>
    <n v="9.1999999999999993"/>
    <s v="Beginner"/>
    <x v="7"/>
    <n v="76.06"/>
    <n v="7"/>
    <x v="1"/>
    <n v="5"/>
    <s v="Moderate"/>
    <n v="7.3"/>
    <x v="0"/>
    <x v="0"/>
  </r>
  <r>
    <x v="440"/>
    <x v="0"/>
    <x v="7"/>
    <x v="8"/>
    <x v="3"/>
    <x v="8"/>
    <x v="3"/>
    <x v="3"/>
    <x v="0"/>
    <n v="39"/>
    <n v="6.9"/>
    <n v="12.4"/>
    <s v="Intermediate"/>
    <x v="36"/>
    <n v="52.55"/>
    <n v="5"/>
    <x v="3"/>
    <n v="7"/>
    <s v="Moderate"/>
    <n v="5.2"/>
    <x v="3"/>
    <x v="1"/>
  </r>
  <r>
    <x v="441"/>
    <x v="0"/>
    <x v="16"/>
    <x v="1"/>
    <x v="1"/>
    <x v="4"/>
    <x v="3"/>
    <x v="3"/>
    <x v="5"/>
    <n v="18"/>
    <n v="2.5"/>
    <n v="1.5"/>
    <s v="Advanced"/>
    <x v="18"/>
    <n v="45.3"/>
    <n v="6"/>
    <x v="1"/>
    <n v="6"/>
    <s v="High"/>
    <n v="7.9"/>
    <x v="1"/>
    <x v="0"/>
  </r>
  <r>
    <x v="442"/>
    <x v="0"/>
    <x v="2"/>
    <x v="5"/>
    <x v="2"/>
    <x v="6"/>
    <x v="0"/>
    <x v="2"/>
    <x v="0"/>
    <n v="12"/>
    <n v="1.3"/>
    <n v="-6.5"/>
    <s v="Beginner"/>
    <x v="24"/>
    <n v="19.489999999999998"/>
    <n v="7"/>
    <x v="3"/>
    <n v="5"/>
    <s v="Low"/>
    <n v="10"/>
    <x v="2"/>
    <x v="0"/>
  </r>
  <r>
    <x v="443"/>
    <x v="2"/>
    <x v="7"/>
    <x v="5"/>
    <x v="0"/>
    <x v="13"/>
    <x v="1"/>
    <x v="0"/>
    <x v="2"/>
    <n v="110"/>
    <n v="9.9"/>
    <n v="16.899999999999999"/>
    <s v="Advanced"/>
    <x v="0"/>
    <n v="139.74"/>
    <n v="9"/>
    <x v="0"/>
    <n v="6"/>
    <s v="High"/>
    <n v="5.9"/>
    <x v="0"/>
    <x v="0"/>
  </r>
  <r>
    <x v="444"/>
    <x v="2"/>
    <x v="0"/>
    <x v="10"/>
    <x v="3"/>
    <x v="4"/>
    <x v="0"/>
    <x v="0"/>
    <x v="5"/>
    <n v="45"/>
    <n v="5.3"/>
    <n v="18.5"/>
    <s v="Intermediate"/>
    <x v="42"/>
    <n v="107.59"/>
    <n v="8"/>
    <x v="0"/>
    <n v="6"/>
    <s v="High"/>
    <n v="5.2"/>
    <x v="0"/>
    <x v="3"/>
  </r>
  <r>
    <x v="445"/>
    <x v="2"/>
    <x v="7"/>
    <x v="2"/>
    <x v="1"/>
    <x v="5"/>
    <x v="3"/>
    <x v="3"/>
    <x v="2"/>
    <n v="19"/>
    <n v="5"/>
    <n v="4.8"/>
    <s v="Intermediate"/>
    <x v="30"/>
    <n v="38.51"/>
    <n v="5"/>
    <x v="0"/>
    <n v="4"/>
    <s v="High"/>
    <n v="4.0999999999999996"/>
    <x v="3"/>
    <x v="1"/>
  </r>
  <r>
    <x v="446"/>
    <x v="1"/>
    <x v="4"/>
    <x v="5"/>
    <x v="1"/>
    <x v="13"/>
    <x v="0"/>
    <x v="3"/>
    <x v="1"/>
    <n v="14"/>
    <n v="2.8"/>
    <n v="-15.8"/>
    <s v="Beginner"/>
    <x v="11"/>
    <n v="40.68"/>
    <n v="2"/>
    <x v="2"/>
    <n v="5"/>
    <s v="Moderate"/>
    <n v="13.1"/>
    <x v="3"/>
    <x v="5"/>
  </r>
  <r>
    <x v="447"/>
    <x v="2"/>
    <x v="12"/>
    <x v="0"/>
    <x v="2"/>
    <x v="13"/>
    <x v="3"/>
    <x v="1"/>
    <x v="7"/>
    <n v="120"/>
    <n v="26"/>
    <n v="31.8"/>
    <s v="Advanced"/>
    <x v="8"/>
    <n v="216.04"/>
    <n v="9"/>
    <x v="1"/>
    <n v="7"/>
    <s v="Excellent"/>
    <n v="12.7"/>
    <x v="2"/>
    <x v="3"/>
  </r>
  <r>
    <x v="448"/>
    <x v="2"/>
    <x v="10"/>
    <x v="4"/>
    <x v="1"/>
    <x v="9"/>
    <x v="1"/>
    <x v="1"/>
    <x v="7"/>
    <n v="108"/>
    <n v="23.9"/>
    <n v="23.8"/>
    <s v="Advanced"/>
    <x v="57"/>
    <n v="184.4"/>
    <n v="8"/>
    <x v="1"/>
    <n v="8"/>
    <s v="Excellent"/>
    <n v="4.4000000000000004"/>
    <x v="3"/>
    <x v="3"/>
  </r>
  <r>
    <x v="449"/>
    <x v="2"/>
    <x v="1"/>
    <x v="9"/>
    <x v="3"/>
    <x v="14"/>
    <x v="0"/>
    <x v="2"/>
    <x v="3"/>
    <n v="4"/>
    <n v="0.9"/>
    <n v="19.100000000000001"/>
    <s v="Beginner"/>
    <x v="0"/>
    <n v="14.45"/>
    <n v="7"/>
    <x v="2"/>
    <n v="6"/>
    <s v="Moderate"/>
    <n v="10.199999999999999"/>
    <x v="3"/>
    <x v="1"/>
  </r>
  <r>
    <x v="450"/>
    <x v="2"/>
    <x v="10"/>
    <x v="3"/>
    <x v="3"/>
    <x v="8"/>
    <x v="0"/>
    <x v="3"/>
    <x v="0"/>
    <n v="46"/>
    <n v="16.5"/>
    <n v="18.899999999999999"/>
    <s v="Advanced"/>
    <x v="49"/>
    <n v="49.04"/>
    <n v="0"/>
    <x v="0"/>
    <n v="7"/>
    <s v="High"/>
    <n v="4.5"/>
    <x v="0"/>
    <x v="0"/>
  </r>
  <r>
    <x v="451"/>
    <x v="1"/>
    <x v="4"/>
    <x v="8"/>
    <x v="2"/>
    <x v="5"/>
    <x v="2"/>
    <x v="2"/>
    <x v="0"/>
    <n v="8"/>
    <n v="0.7"/>
    <n v="15.9"/>
    <s v="Intermediate"/>
    <x v="16"/>
    <n v="39.97"/>
    <n v="7"/>
    <x v="2"/>
    <n v="7"/>
    <s v="Moderate"/>
    <n v="4.3"/>
    <x v="0"/>
    <x v="0"/>
  </r>
  <r>
    <x v="452"/>
    <x v="2"/>
    <x v="3"/>
    <x v="6"/>
    <x v="0"/>
    <x v="4"/>
    <x v="3"/>
    <x v="0"/>
    <x v="7"/>
    <n v="72"/>
    <n v="7.7"/>
    <n v="25.9"/>
    <s v="Intermediate"/>
    <x v="69"/>
    <n v="406.99"/>
    <n v="6"/>
    <x v="2"/>
    <n v="5"/>
    <s v="Moderate"/>
    <n v="7.4"/>
    <x v="1"/>
    <x v="0"/>
  </r>
  <r>
    <x v="453"/>
    <x v="0"/>
    <x v="14"/>
    <x v="6"/>
    <x v="1"/>
    <x v="9"/>
    <x v="1"/>
    <x v="3"/>
    <x v="4"/>
    <n v="234"/>
    <n v="1.1000000000000001"/>
    <n v="-2.7"/>
    <s v="Beginner"/>
    <x v="4"/>
    <n v="14.74"/>
    <n v="6"/>
    <x v="0"/>
    <n v="6"/>
    <s v="Low"/>
    <n v="3.8"/>
    <x v="3"/>
    <x v="0"/>
  </r>
  <r>
    <x v="454"/>
    <x v="2"/>
    <x v="14"/>
    <x v="5"/>
    <x v="1"/>
    <x v="13"/>
    <x v="3"/>
    <x v="3"/>
    <x v="6"/>
    <n v="16"/>
    <n v="2.4"/>
    <n v="-0.4"/>
    <s v="Advanced"/>
    <x v="10"/>
    <n v="53.02"/>
    <n v="6"/>
    <x v="0"/>
    <n v="4"/>
    <s v="Moderate"/>
    <n v="7"/>
    <x v="0"/>
    <x v="1"/>
  </r>
  <r>
    <x v="455"/>
    <x v="0"/>
    <x v="1"/>
    <x v="16"/>
    <x v="5"/>
    <x v="8"/>
    <x v="1"/>
    <x v="3"/>
    <x v="2"/>
    <n v="11"/>
    <n v="1.5"/>
    <n v="-3.4"/>
    <s v="Beginner"/>
    <x v="23"/>
    <n v="89.69"/>
    <n v="7"/>
    <x v="1"/>
    <n v="4"/>
    <s v="Moderate"/>
    <n v="5.9"/>
    <x v="0"/>
    <x v="1"/>
  </r>
  <r>
    <x v="456"/>
    <x v="2"/>
    <x v="12"/>
    <x v="4"/>
    <x v="1"/>
    <x v="2"/>
    <x v="2"/>
    <x v="0"/>
    <x v="2"/>
    <n v="32"/>
    <n v="14.4"/>
    <n v="18.8"/>
    <s v="Intermediate"/>
    <x v="13"/>
    <n v="164.24"/>
    <n v="6"/>
    <x v="0"/>
    <n v="6"/>
    <s v="High"/>
    <n v="6.3"/>
    <x v="0"/>
    <x v="3"/>
  </r>
  <r>
    <x v="457"/>
    <x v="2"/>
    <x v="2"/>
    <x v="6"/>
    <x v="3"/>
    <x v="5"/>
    <x v="4"/>
    <x v="3"/>
    <x v="7"/>
    <n v="35"/>
    <n v="9.8000000000000007"/>
    <n v="18.5"/>
    <s v="Intermediate"/>
    <x v="42"/>
    <n v="83.68"/>
    <n v="4"/>
    <x v="0"/>
    <n v="5"/>
    <s v="Moderate"/>
    <n v="10.9"/>
    <x v="1"/>
    <x v="0"/>
  </r>
  <r>
    <x v="458"/>
    <x v="0"/>
    <x v="2"/>
    <x v="8"/>
    <x v="3"/>
    <x v="4"/>
    <x v="1"/>
    <x v="3"/>
    <x v="5"/>
    <n v="27"/>
    <n v="2.7"/>
    <n v="2.5"/>
    <s v="Beginner"/>
    <x v="4"/>
    <n v="51.12"/>
    <n v="3"/>
    <x v="0"/>
    <n v="4"/>
    <s v="Moderate"/>
    <n v="9.9"/>
    <x v="1"/>
    <x v="5"/>
  </r>
  <r>
    <x v="459"/>
    <x v="1"/>
    <x v="10"/>
    <x v="6"/>
    <x v="3"/>
    <x v="4"/>
    <x v="3"/>
    <x v="3"/>
    <x v="5"/>
    <n v="20"/>
    <n v="3.3"/>
    <n v="9.9"/>
    <s v="Intermediate"/>
    <x v="6"/>
    <n v="38.630000000000003"/>
    <n v="7"/>
    <x v="2"/>
    <n v="5"/>
    <s v="Moderate"/>
    <n v="17.8"/>
    <x v="0"/>
    <x v="1"/>
  </r>
  <r>
    <x v="460"/>
    <x v="2"/>
    <x v="2"/>
    <x v="5"/>
    <x v="2"/>
    <x v="11"/>
    <x v="3"/>
    <x v="2"/>
    <x v="4"/>
    <n v="8"/>
    <n v="1.1000000000000001"/>
    <n v="3.5"/>
    <s v="Beginner"/>
    <x v="4"/>
    <n v="5.0599999999999996"/>
    <n v="5"/>
    <x v="3"/>
    <n v="6"/>
    <s v="Low"/>
    <n v="5.8"/>
    <x v="2"/>
    <x v="0"/>
  </r>
  <r>
    <x v="461"/>
    <x v="2"/>
    <x v="13"/>
    <x v="6"/>
    <x v="1"/>
    <x v="1"/>
    <x v="2"/>
    <x v="3"/>
    <x v="1"/>
    <n v="14"/>
    <n v="2.8"/>
    <n v="16.8"/>
    <s v="Intermediate"/>
    <x v="38"/>
    <n v="56.08"/>
    <n v="4"/>
    <x v="3"/>
    <n v="4"/>
    <s v="Moderate"/>
    <n v="6.2"/>
    <x v="3"/>
    <x v="5"/>
  </r>
  <r>
    <x v="462"/>
    <x v="0"/>
    <x v="18"/>
    <x v="6"/>
    <x v="3"/>
    <x v="12"/>
    <x v="4"/>
    <x v="0"/>
    <x v="0"/>
    <n v="27"/>
    <n v="6.9"/>
    <n v="10.9"/>
    <s v="Intermediate"/>
    <x v="16"/>
    <n v="55.44"/>
    <n v="4"/>
    <x v="2"/>
    <n v="7"/>
    <s v="High"/>
    <n v="7.9"/>
    <x v="1"/>
    <x v="1"/>
  </r>
  <r>
    <x v="463"/>
    <x v="2"/>
    <x v="5"/>
    <x v="4"/>
    <x v="1"/>
    <x v="13"/>
    <x v="1"/>
    <x v="3"/>
    <x v="2"/>
    <n v="19"/>
    <n v="1.9"/>
    <n v="-4"/>
    <s v="Beginner"/>
    <x v="26"/>
    <n v="20.18"/>
    <n v="3"/>
    <x v="0"/>
    <n v="4"/>
    <s v="Low"/>
    <n v="8.1999999999999993"/>
    <x v="3"/>
    <x v="1"/>
  </r>
  <r>
    <x v="464"/>
    <x v="2"/>
    <x v="10"/>
    <x v="9"/>
    <x v="1"/>
    <x v="14"/>
    <x v="2"/>
    <x v="3"/>
    <x v="3"/>
    <n v="15"/>
    <n v="1.3"/>
    <n v="17"/>
    <s v="Intermediate"/>
    <x v="13"/>
    <n v="32"/>
    <n v="8"/>
    <x v="3"/>
    <n v="4"/>
    <s v="Moderate"/>
    <n v="8.4"/>
    <x v="2"/>
    <x v="1"/>
  </r>
  <r>
    <x v="465"/>
    <x v="2"/>
    <x v="5"/>
    <x v="5"/>
    <x v="0"/>
    <x v="5"/>
    <x v="3"/>
    <x v="3"/>
    <x v="2"/>
    <n v="17"/>
    <n v="4"/>
    <n v="14.6"/>
    <s v="Intermediate"/>
    <x v="6"/>
    <n v="43.37"/>
    <n v="7"/>
    <x v="3"/>
    <n v="6"/>
    <s v="Moderate"/>
    <n v="4.5999999999999996"/>
    <x v="1"/>
    <x v="0"/>
  </r>
  <r>
    <x v="466"/>
    <x v="2"/>
    <x v="7"/>
    <x v="0"/>
    <x v="3"/>
    <x v="9"/>
    <x v="3"/>
    <x v="2"/>
    <x v="0"/>
    <n v="8"/>
    <n v="0.6"/>
    <n v="4.9000000000000004"/>
    <s v="Intermediate"/>
    <x v="14"/>
    <n v="28.01"/>
    <n v="8"/>
    <x v="1"/>
    <n v="5"/>
    <s v="Moderate"/>
    <n v="6.8"/>
    <x v="0"/>
    <x v="0"/>
  </r>
  <r>
    <x v="467"/>
    <x v="2"/>
    <x v="18"/>
    <x v="3"/>
    <x v="3"/>
    <x v="3"/>
    <x v="1"/>
    <x v="2"/>
    <x v="4"/>
    <n v="10"/>
    <n v="0.6"/>
    <n v="13.6"/>
    <s v="Beginner"/>
    <x v="22"/>
    <n v="11.45"/>
    <n v="7"/>
    <x v="0"/>
    <n v="5"/>
    <s v="Low"/>
    <n v="5.2"/>
    <x v="0"/>
    <x v="0"/>
  </r>
  <r>
    <x v="468"/>
    <x v="2"/>
    <x v="14"/>
    <x v="6"/>
    <x v="2"/>
    <x v="5"/>
    <x v="3"/>
    <x v="1"/>
    <x v="7"/>
    <n v="150"/>
    <n v="26"/>
    <n v="39.200000000000003"/>
    <s v="Advanced"/>
    <x v="8"/>
    <n v="294.33"/>
    <n v="9"/>
    <x v="2"/>
    <n v="6"/>
    <s v="Excellent"/>
    <n v="5.6"/>
    <x v="4"/>
    <x v="3"/>
  </r>
  <r>
    <x v="469"/>
    <x v="2"/>
    <x v="8"/>
    <x v="10"/>
    <x v="2"/>
    <x v="7"/>
    <x v="1"/>
    <x v="0"/>
    <x v="7"/>
    <n v="102"/>
    <n v="19.8"/>
    <n v="48.3"/>
    <s v="Advanced"/>
    <x v="49"/>
    <n v="170.56"/>
    <n v="8"/>
    <x v="2"/>
    <n v="7"/>
    <s v="High"/>
    <n v="14.9"/>
    <x v="0"/>
    <x v="3"/>
  </r>
  <r>
    <x v="470"/>
    <x v="2"/>
    <x v="13"/>
    <x v="9"/>
    <x v="2"/>
    <x v="8"/>
    <x v="3"/>
    <x v="3"/>
    <x v="2"/>
    <n v="18"/>
    <n v="9.6999999999999993"/>
    <n v="22.9"/>
    <s v="Advanced"/>
    <x v="52"/>
    <n v="42.68"/>
    <n v="10"/>
    <x v="1"/>
    <n v="9"/>
    <s v="Excellent"/>
    <n v="6.5"/>
    <x v="0"/>
    <x v="3"/>
  </r>
  <r>
    <x v="471"/>
    <x v="2"/>
    <x v="10"/>
    <x v="10"/>
    <x v="2"/>
    <x v="9"/>
    <x v="1"/>
    <x v="0"/>
    <x v="7"/>
    <n v="37"/>
    <n v="17.899999999999999"/>
    <n v="3.8"/>
    <s v="Advanced"/>
    <x v="11"/>
    <n v="93.64"/>
    <n v="7"/>
    <x v="2"/>
    <n v="6"/>
    <s v="Excellent"/>
    <n v="9.9"/>
    <x v="0"/>
    <x v="0"/>
  </r>
  <r>
    <x v="472"/>
    <x v="0"/>
    <x v="13"/>
    <x v="5"/>
    <x v="0"/>
    <x v="13"/>
    <x v="3"/>
    <x v="0"/>
    <x v="0"/>
    <n v="23"/>
    <n v="5.6"/>
    <n v="16.2"/>
    <s v="Beginner"/>
    <x v="33"/>
    <n v="62.19"/>
    <n v="6"/>
    <x v="2"/>
    <n v="5"/>
    <s v="Moderate"/>
    <n v="9.6"/>
    <x v="3"/>
    <x v="1"/>
  </r>
  <r>
    <x v="473"/>
    <x v="2"/>
    <x v="1"/>
    <x v="0"/>
    <x v="1"/>
    <x v="4"/>
    <x v="0"/>
    <x v="3"/>
    <x v="5"/>
    <n v="43"/>
    <n v="6.4"/>
    <n v="24.8"/>
    <s v="Advanced"/>
    <x v="18"/>
    <n v="49.97"/>
    <n v="7"/>
    <x v="2"/>
    <n v="8"/>
    <s v="High"/>
    <n v="8"/>
    <x v="0"/>
    <x v="0"/>
  </r>
  <r>
    <x v="474"/>
    <x v="0"/>
    <x v="9"/>
    <x v="6"/>
    <x v="5"/>
    <x v="3"/>
    <x v="1"/>
    <x v="3"/>
    <x v="3"/>
    <n v="8"/>
    <n v="1.3"/>
    <n v="-3.5"/>
    <s v="Beginner"/>
    <x v="4"/>
    <n v="22.17"/>
    <n v="8"/>
    <x v="2"/>
    <n v="4"/>
    <s v="Low"/>
    <n v="16.3"/>
    <x v="0"/>
    <x v="1"/>
  </r>
  <r>
    <x v="475"/>
    <x v="2"/>
    <x v="11"/>
    <x v="2"/>
    <x v="1"/>
    <x v="10"/>
    <x v="2"/>
    <x v="2"/>
    <x v="7"/>
    <n v="6"/>
    <n v="1.7"/>
    <n v="-6.3"/>
    <s v="Beginner"/>
    <x v="33"/>
    <n v="37.130000000000003"/>
    <n v="5"/>
    <x v="0"/>
    <n v="4"/>
    <s v="Low"/>
    <n v="15.1"/>
    <x v="3"/>
    <x v="5"/>
  </r>
  <r>
    <x v="476"/>
    <x v="1"/>
    <x v="9"/>
    <x v="9"/>
    <x v="2"/>
    <x v="4"/>
    <x v="1"/>
    <x v="2"/>
    <x v="5"/>
    <n v="13"/>
    <n v="1.7"/>
    <n v="-3.9"/>
    <s v="Beginner"/>
    <x v="12"/>
    <n v="33.36"/>
    <n v="2"/>
    <x v="2"/>
    <n v="3"/>
    <s v="Low"/>
    <n v="15.5"/>
    <x v="3"/>
    <x v="5"/>
  </r>
  <r>
    <x v="477"/>
    <x v="2"/>
    <x v="0"/>
    <x v="0"/>
    <x v="3"/>
    <x v="3"/>
    <x v="3"/>
    <x v="3"/>
    <x v="0"/>
    <n v="16"/>
    <n v="1.6"/>
    <n v="-4.0999999999999996"/>
    <s v="Intermediate"/>
    <x v="17"/>
    <n v="38.840000000000003"/>
    <n v="9"/>
    <x v="1"/>
    <n v="6"/>
    <s v="Moderate"/>
    <n v="8.4"/>
    <x v="0"/>
    <x v="0"/>
  </r>
  <r>
    <x v="478"/>
    <x v="0"/>
    <x v="2"/>
    <x v="10"/>
    <x v="1"/>
    <x v="0"/>
    <x v="4"/>
    <x v="2"/>
    <x v="3"/>
    <n v="7"/>
    <n v="1.8"/>
    <n v="-5.2"/>
    <s v="Intermediate"/>
    <x v="33"/>
    <n v="9.3800000000000008"/>
    <n v="5"/>
    <x v="2"/>
    <n v="4"/>
    <s v="Moderate"/>
    <n v="11.8"/>
    <x v="0"/>
    <x v="1"/>
  </r>
  <r>
    <x v="479"/>
    <x v="0"/>
    <x v="12"/>
    <x v="8"/>
    <x v="0"/>
    <x v="1"/>
    <x v="2"/>
    <x v="3"/>
    <x v="1"/>
    <n v="11"/>
    <n v="1.8"/>
    <n v="16.2"/>
    <s v="Intermediate"/>
    <x v="31"/>
    <n v="62.86"/>
    <n v="6"/>
    <x v="0"/>
    <n v="5"/>
    <s v="Low"/>
    <n v="8.5"/>
    <x v="0"/>
    <x v="0"/>
  </r>
  <r>
    <x v="480"/>
    <x v="0"/>
    <x v="0"/>
    <x v="2"/>
    <x v="1"/>
    <x v="0"/>
    <x v="0"/>
    <x v="2"/>
    <x v="3"/>
    <n v="3"/>
    <n v="0.5"/>
    <n v="7.9"/>
    <s v="Beginner"/>
    <x v="11"/>
    <n v="10.91"/>
    <n v="5"/>
    <x v="2"/>
    <n v="2"/>
    <s v="Low"/>
    <n v="13.6"/>
    <x v="3"/>
    <x v="1"/>
  </r>
  <r>
    <x v="481"/>
    <x v="2"/>
    <x v="23"/>
    <x v="6"/>
    <x v="2"/>
    <x v="12"/>
    <x v="0"/>
    <x v="0"/>
    <x v="3"/>
    <n v="37"/>
    <n v="9.4"/>
    <n v="23.4"/>
    <s v="Intermediate"/>
    <x v="12"/>
    <n v="96.1"/>
    <n v="6"/>
    <x v="0"/>
    <n v="7"/>
    <s v="High"/>
    <n v="6.4"/>
    <x v="1"/>
    <x v="0"/>
  </r>
  <r>
    <x v="482"/>
    <x v="1"/>
    <x v="3"/>
    <x v="5"/>
    <x v="0"/>
    <x v="11"/>
    <x v="1"/>
    <x v="4"/>
    <x v="8"/>
    <n v="0"/>
    <n v="0"/>
    <n v="5.2"/>
    <s v="Beginner"/>
    <x v="1"/>
    <n v="0"/>
    <n v="4"/>
    <x v="2"/>
    <n v="3"/>
    <s v="Low"/>
    <m/>
    <x v="2"/>
    <x v="5"/>
  </r>
  <r>
    <x v="483"/>
    <x v="0"/>
    <x v="14"/>
    <x v="10"/>
    <x v="0"/>
    <x v="9"/>
    <x v="0"/>
    <x v="3"/>
    <x v="4"/>
    <n v="22"/>
    <n v="3.6"/>
    <n v="8.3000000000000007"/>
    <s v="Intermediate"/>
    <x v="12"/>
    <n v="15.77"/>
    <n v="8"/>
    <x v="0"/>
    <n v="6"/>
    <s v="Moderate"/>
    <n v="7.6"/>
    <x v="2"/>
    <x v="0"/>
  </r>
  <r>
    <x v="484"/>
    <x v="0"/>
    <x v="14"/>
    <x v="6"/>
    <x v="1"/>
    <x v="1"/>
    <x v="0"/>
    <x v="1"/>
    <x v="1"/>
    <n v="26"/>
    <n v="10.7"/>
    <n v="14.8"/>
    <s v="Intermediate"/>
    <x v="6"/>
    <n v="110.63"/>
    <n v="7"/>
    <x v="0"/>
    <n v="5"/>
    <s v="Moderate"/>
    <n v="14.5"/>
    <x v="3"/>
    <x v="0"/>
  </r>
  <r>
    <x v="485"/>
    <x v="2"/>
    <x v="2"/>
    <x v="9"/>
    <x v="3"/>
    <x v="4"/>
    <x v="3"/>
    <x v="3"/>
    <x v="5"/>
    <n v="30"/>
    <n v="3"/>
    <n v="-11.1"/>
    <s v="Advanced"/>
    <x v="4"/>
    <n v="41.21"/>
    <n v="8"/>
    <x v="2"/>
    <n v="5"/>
    <s v="High"/>
    <n v="4.9000000000000004"/>
    <x v="0"/>
    <x v="0"/>
  </r>
  <r>
    <x v="486"/>
    <x v="0"/>
    <x v="2"/>
    <x v="10"/>
    <x v="1"/>
    <x v="5"/>
    <x v="0"/>
    <x v="0"/>
    <x v="6"/>
    <n v="24"/>
    <n v="6.5"/>
    <n v="10.6"/>
    <s v="Advanced"/>
    <x v="2"/>
    <n v="55.09"/>
    <n v="8"/>
    <x v="2"/>
    <n v="7"/>
    <s v="High"/>
    <n v="10.6"/>
    <x v="0"/>
    <x v="0"/>
  </r>
  <r>
    <x v="487"/>
    <x v="0"/>
    <x v="2"/>
    <x v="3"/>
    <x v="0"/>
    <x v="5"/>
    <x v="3"/>
    <x v="0"/>
    <x v="7"/>
    <n v="42"/>
    <n v="9"/>
    <n v="6.6"/>
    <s v="Advanced"/>
    <x v="18"/>
    <n v="2710.65"/>
    <n v="9"/>
    <x v="2"/>
    <n v="5"/>
    <s v="High"/>
    <n v="9.8000000000000007"/>
    <x v="0"/>
    <x v="0"/>
  </r>
  <r>
    <x v="488"/>
    <x v="2"/>
    <x v="1"/>
    <x v="1"/>
    <x v="1"/>
    <x v="8"/>
    <x v="4"/>
    <x v="3"/>
    <x v="4"/>
    <n v="30"/>
    <n v="3.1"/>
    <n v="14.4"/>
    <s v="Intermediate"/>
    <x v="70"/>
    <n v="21.48"/>
    <n v="7"/>
    <x v="0"/>
    <n v="9"/>
    <s v="High"/>
    <n v="5.8"/>
    <x v="2"/>
    <x v="0"/>
  </r>
  <r>
    <x v="489"/>
    <x v="1"/>
    <x v="11"/>
    <x v="0"/>
    <x v="1"/>
    <x v="8"/>
    <x v="0"/>
    <x v="2"/>
    <x v="0"/>
    <n v="7"/>
    <n v="0.6"/>
    <n v="-10.199999999999999"/>
    <s v="Intermediate"/>
    <x v="7"/>
    <n v="20.32"/>
    <n v="9"/>
    <x v="2"/>
    <n v="7"/>
    <s v="Low"/>
    <n v="10.6"/>
    <x v="2"/>
    <x v="1"/>
  </r>
  <r>
    <x v="490"/>
    <x v="0"/>
    <x v="4"/>
    <x v="0"/>
    <x v="2"/>
    <x v="4"/>
    <x v="6"/>
    <x v="3"/>
    <x v="5"/>
    <n v="20"/>
    <n v="1.7"/>
    <n v="5.9"/>
    <s v="Intermediate"/>
    <x v="33"/>
    <n v="22.8"/>
    <n v="6"/>
    <x v="0"/>
    <n v="2"/>
    <s v="Low"/>
    <n v="18.2"/>
    <x v="0"/>
    <x v="1"/>
  </r>
  <r>
    <x v="491"/>
    <x v="1"/>
    <x v="5"/>
    <x v="6"/>
    <x v="1"/>
    <x v="1"/>
    <x v="3"/>
    <x v="3"/>
    <x v="7"/>
    <n v="37"/>
    <n v="9.6"/>
    <n v="6.5"/>
    <s v="Beginner"/>
    <x v="29"/>
    <n v="166.37"/>
    <n v="7"/>
    <x v="3"/>
    <n v="7"/>
    <s v="Moderate"/>
    <n v="9.8000000000000007"/>
    <x v="3"/>
    <x v="0"/>
  </r>
  <r>
    <x v="492"/>
    <x v="1"/>
    <x v="14"/>
    <x v="10"/>
    <x v="2"/>
    <x v="9"/>
    <x v="3"/>
    <x v="3"/>
    <x v="4"/>
    <n v="18"/>
    <n v="2.5"/>
    <n v="9.6999999999999993"/>
    <s v="Beginner"/>
    <x v="16"/>
    <n v="19.690000000000001"/>
    <n v="9"/>
    <x v="0"/>
    <n v="5"/>
    <s v="Moderate"/>
    <n v="6.7"/>
    <x v="2"/>
    <x v="0"/>
  </r>
  <r>
    <x v="493"/>
    <x v="1"/>
    <x v="1"/>
    <x v="9"/>
    <x v="3"/>
    <x v="0"/>
    <x v="3"/>
    <x v="2"/>
    <x v="0"/>
    <n v="4"/>
    <n v="29.5"/>
    <n v="-17.2"/>
    <s v="Intermediate"/>
    <x v="17"/>
    <n v="26.84"/>
    <n v="6"/>
    <x v="0"/>
    <n v="4"/>
    <s v="Low"/>
    <n v="16.8"/>
    <x v="2"/>
    <x v="1"/>
  </r>
  <r>
    <x v="494"/>
    <x v="2"/>
    <x v="7"/>
    <x v="9"/>
    <x v="2"/>
    <x v="8"/>
    <x v="1"/>
    <x v="3"/>
    <x v="4"/>
    <n v="19"/>
    <n v="7.8"/>
    <n v="23.8"/>
    <s v="Intermediate"/>
    <x v="18"/>
    <n v="47.3"/>
    <n v="6"/>
    <x v="2"/>
    <n v="5"/>
    <s v="High"/>
    <n v="4.9000000000000004"/>
    <x v="3"/>
    <x v="0"/>
  </r>
  <r>
    <x v="495"/>
    <x v="0"/>
    <x v="2"/>
    <x v="6"/>
    <x v="2"/>
    <x v="1"/>
    <x v="0"/>
    <x v="0"/>
    <x v="6"/>
    <n v="19"/>
    <n v="7.2"/>
    <n v="14.5"/>
    <s v="Expert"/>
    <x v="28"/>
    <n v="71.22"/>
    <n v="7"/>
    <x v="0"/>
    <n v="8"/>
    <s v="High"/>
    <n v="10"/>
    <x v="2"/>
    <x v="0"/>
  </r>
  <r>
    <x v="496"/>
    <x v="1"/>
    <x v="18"/>
    <x v="9"/>
    <x v="3"/>
    <x v="17"/>
    <x v="3"/>
    <x v="3"/>
    <x v="6"/>
    <n v="12"/>
    <n v="1.8"/>
    <n v="-2.2999999999999998"/>
    <s v="Intermediate"/>
    <x v="36"/>
    <n v="25.68"/>
    <n v="6"/>
    <x v="2"/>
    <n v="3"/>
    <s v="Moderate"/>
    <n v="8"/>
    <x v="0"/>
    <x v="5"/>
  </r>
  <r>
    <x v="497"/>
    <x v="1"/>
    <x v="5"/>
    <x v="10"/>
    <x v="2"/>
    <x v="4"/>
    <x v="3"/>
    <x v="2"/>
    <x v="5"/>
    <n v="6"/>
    <n v="1.3"/>
    <n v="-0.8"/>
    <s v="Intermediate"/>
    <x v="36"/>
    <n v="17.38"/>
    <n v="6"/>
    <x v="3"/>
    <n v="5"/>
    <s v="High"/>
    <n v="4.7"/>
    <x v="2"/>
    <x v="0"/>
  </r>
  <r>
    <x v="498"/>
    <x v="2"/>
    <x v="0"/>
    <x v="5"/>
    <x v="0"/>
    <x v="11"/>
    <x v="3"/>
    <x v="0"/>
    <x v="7"/>
    <n v="28"/>
    <n v="9.6"/>
    <n v="36.6"/>
    <s v="Advanced"/>
    <x v="24"/>
    <n v="100.58"/>
    <n v="7"/>
    <x v="3"/>
    <n v="7"/>
    <s v="Excellent"/>
    <n v="6.7"/>
    <x v="0"/>
    <x v="0"/>
  </r>
  <r>
    <x v="499"/>
    <x v="0"/>
    <x v="18"/>
    <x v="4"/>
    <x v="3"/>
    <x v="7"/>
    <x v="1"/>
    <x v="2"/>
    <x v="3"/>
    <n v="9"/>
    <n v="2.6"/>
    <n v="1.3"/>
    <s v="Intermediate"/>
    <x v="4"/>
    <n v="12.01"/>
    <n v="6"/>
    <x v="1"/>
    <n v="5"/>
    <s v="Moderate"/>
    <n v="9.5"/>
    <x v="0"/>
    <x v="0"/>
  </r>
  <r>
    <x v="500"/>
    <x v="0"/>
    <x v="5"/>
    <x v="9"/>
    <x v="3"/>
    <x v="13"/>
    <x v="3"/>
    <x v="0"/>
    <x v="6"/>
    <n v="44"/>
    <n v="15.8"/>
    <n v="8"/>
    <s v="Intermediate"/>
    <x v="19"/>
    <n v="69.61"/>
    <n v="7"/>
    <x v="0"/>
    <n v="6"/>
    <s v="High"/>
    <n v="6.9"/>
    <x v="0"/>
    <x v="0"/>
  </r>
  <r>
    <x v="501"/>
    <x v="0"/>
    <x v="7"/>
    <x v="6"/>
    <x v="7"/>
    <x v="7"/>
    <x v="0"/>
    <x v="3"/>
    <x v="6"/>
    <n v="12"/>
    <n v="3.6"/>
    <n v="2.7"/>
    <s v="Intermediate"/>
    <x v="7"/>
    <n v="56.8"/>
    <n v="5"/>
    <x v="2"/>
    <n v="5"/>
    <s v="High"/>
    <n v="11"/>
    <x v="2"/>
    <x v="1"/>
  </r>
  <r>
    <x v="502"/>
    <x v="0"/>
    <x v="11"/>
    <x v="0"/>
    <x v="0"/>
    <x v="5"/>
    <x v="4"/>
    <x v="0"/>
    <x v="7"/>
    <n v="71"/>
    <n v="10.6"/>
    <n v="32"/>
    <s v="Advanced"/>
    <x v="52"/>
    <n v="193.56"/>
    <n v="10"/>
    <x v="3"/>
    <n v="5"/>
    <s v="High"/>
    <n v="8.5"/>
    <x v="2"/>
    <x v="3"/>
  </r>
  <r>
    <x v="503"/>
    <x v="2"/>
    <x v="11"/>
    <x v="0"/>
    <x v="1"/>
    <x v="6"/>
    <x v="3"/>
    <x v="0"/>
    <x v="6"/>
    <n v="43"/>
    <n v="15"/>
    <n v="36.5"/>
    <s v="Intermediate"/>
    <x v="0"/>
    <n v="135.25"/>
    <n v="9"/>
    <x v="3"/>
    <n v="6"/>
    <s v="Moderate"/>
    <n v="13.1"/>
    <x v="2"/>
    <x v="0"/>
  </r>
  <r>
    <x v="504"/>
    <x v="0"/>
    <x v="8"/>
    <x v="8"/>
    <x v="0"/>
    <x v="10"/>
    <x v="3"/>
    <x v="0"/>
    <x v="3"/>
    <n v="80"/>
    <n v="4.5"/>
    <n v="17.399999999999999"/>
    <s v="Advanced"/>
    <x v="4"/>
    <n v="121.72"/>
    <n v="6"/>
    <x v="0"/>
    <n v="5"/>
    <s v="Moderate"/>
    <n v="4.5"/>
    <x v="0"/>
    <x v="0"/>
  </r>
  <r>
    <x v="505"/>
    <x v="2"/>
    <x v="4"/>
    <x v="1"/>
    <x v="2"/>
    <x v="13"/>
    <x v="0"/>
    <x v="3"/>
    <x v="2"/>
    <n v="26"/>
    <n v="4.3"/>
    <n v="15.4"/>
    <s v="Intermediate"/>
    <x v="18"/>
    <n v="51.58"/>
    <n v="6"/>
    <x v="0"/>
    <n v="6"/>
    <s v="High"/>
    <n v="5.8"/>
    <x v="0"/>
    <x v="0"/>
  </r>
  <r>
    <x v="506"/>
    <x v="1"/>
    <x v="5"/>
    <x v="10"/>
    <x v="1"/>
    <x v="8"/>
    <x v="0"/>
    <x v="3"/>
    <x v="0"/>
    <n v="12"/>
    <n v="9.3000000000000007"/>
    <n v="-32.4"/>
    <s v="Beginner"/>
    <x v="41"/>
    <n v="28.43"/>
    <n v="7"/>
    <x v="2"/>
    <n v="4"/>
    <s v="Moderate"/>
    <n v="8"/>
    <x v="0"/>
    <x v="0"/>
  </r>
  <r>
    <x v="507"/>
    <x v="2"/>
    <x v="14"/>
    <x v="10"/>
    <x v="2"/>
    <x v="7"/>
    <x v="2"/>
    <x v="0"/>
    <x v="2"/>
    <n v="24"/>
    <n v="4.5999999999999996"/>
    <n v="18.8"/>
    <s v="Advanced"/>
    <x v="49"/>
    <n v="57.72"/>
    <n v="9"/>
    <x v="0"/>
    <n v="7"/>
    <s v="Excellent"/>
    <n v="5.7"/>
    <x v="2"/>
    <x v="3"/>
  </r>
  <r>
    <x v="508"/>
    <x v="2"/>
    <x v="0"/>
    <x v="10"/>
    <x v="2"/>
    <x v="4"/>
    <x v="0"/>
    <x v="0"/>
    <x v="7"/>
    <n v="0"/>
    <n v="5.3"/>
    <n v="12.6"/>
    <s v="Intermediate"/>
    <x v="4"/>
    <n v="257.10000000000002"/>
    <n v="7"/>
    <x v="1"/>
    <n v="7"/>
    <s v="High"/>
    <n v="7"/>
    <x v="1"/>
    <x v="0"/>
  </r>
  <r>
    <x v="509"/>
    <x v="1"/>
    <x v="5"/>
    <x v="5"/>
    <x v="3"/>
    <x v="6"/>
    <x v="1"/>
    <x v="0"/>
    <x v="3"/>
    <n v="15"/>
    <n v="7.1"/>
    <n v="7.6"/>
    <s v="Beginner"/>
    <x v="4"/>
    <n v="133.54"/>
    <n v="4"/>
    <x v="2"/>
    <n v="2"/>
    <s v="Low"/>
    <n v="17.5"/>
    <x v="2"/>
    <x v="5"/>
  </r>
  <r>
    <x v="510"/>
    <x v="1"/>
    <x v="1"/>
    <x v="3"/>
    <x v="0"/>
    <x v="3"/>
    <x v="3"/>
    <x v="2"/>
    <x v="3"/>
    <n v="8"/>
    <n v="2.2999999999999998"/>
    <n v="-3.3"/>
    <s v="Beginner"/>
    <x v="25"/>
    <n v="13.3"/>
    <n v="7"/>
    <x v="0"/>
    <n v="4"/>
    <s v="Low"/>
    <n v="12"/>
    <x v="0"/>
    <x v="1"/>
  </r>
  <r>
    <x v="511"/>
    <x v="0"/>
    <x v="15"/>
    <x v="8"/>
    <x v="0"/>
    <x v="7"/>
    <x v="1"/>
    <x v="3"/>
    <x v="3"/>
    <n v="11"/>
    <n v="3"/>
    <n v="-2.1"/>
    <s v="Intermediate"/>
    <x v="29"/>
    <n v="72.06"/>
    <n v="5"/>
    <x v="3"/>
    <n v="5"/>
    <s v="Moderate"/>
    <n v="67.2"/>
    <x v="1"/>
    <x v="1"/>
  </r>
  <r>
    <x v="512"/>
    <x v="0"/>
    <x v="2"/>
    <x v="4"/>
    <x v="3"/>
    <x v="10"/>
    <x v="0"/>
    <x v="0"/>
    <x v="3"/>
    <n v="22"/>
    <n v="5.4"/>
    <n v="7"/>
    <s v="Intermediate"/>
    <x v="4"/>
    <n v="54.35"/>
    <n v="7"/>
    <x v="0"/>
    <n v="4"/>
    <s v="Moderate"/>
    <n v="13.3"/>
    <x v="3"/>
    <x v="0"/>
  </r>
  <r>
    <x v="513"/>
    <x v="1"/>
    <x v="5"/>
    <x v="6"/>
    <x v="0"/>
    <x v="0"/>
    <x v="1"/>
    <x v="3"/>
    <x v="3"/>
    <n v="10"/>
    <n v="1.7"/>
    <n v="-13.1"/>
    <s v="Intermediate"/>
    <x v="18"/>
    <n v="28.4"/>
    <n v="4"/>
    <x v="0"/>
    <n v="4"/>
    <s v="Moderate"/>
    <n v="13.2"/>
    <x v="2"/>
    <x v="1"/>
  </r>
  <r>
    <x v="514"/>
    <x v="1"/>
    <x v="5"/>
    <x v="2"/>
    <x v="0"/>
    <x v="5"/>
    <x v="2"/>
    <x v="0"/>
    <x v="6"/>
    <n v="18"/>
    <n v="4"/>
    <n v="12.4"/>
    <s v="Intermediate"/>
    <x v="4"/>
    <n v="70.069999999999993"/>
    <n v="7"/>
    <x v="1"/>
    <n v="4"/>
    <s v="Moderate"/>
    <n v="5.7"/>
    <x v="2"/>
    <x v="0"/>
  </r>
  <r>
    <x v="515"/>
    <x v="2"/>
    <x v="1"/>
    <x v="4"/>
    <x v="1"/>
    <x v="6"/>
    <x v="1"/>
    <x v="3"/>
    <x v="6"/>
    <n v="11"/>
    <n v="0"/>
    <n v="15.6"/>
    <s v="Advanced"/>
    <x v="30"/>
    <n v="26.87"/>
    <n v="5"/>
    <x v="2"/>
    <n v="3"/>
    <s v="High"/>
    <n v="13.5"/>
    <x v="2"/>
    <x v="1"/>
  </r>
  <r>
    <x v="516"/>
    <x v="2"/>
    <x v="4"/>
    <x v="3"/>
    <x v="2"/>
    <x v="4"/>
    <x v="1"/>
    <x v="0"/>
    <x v="5"/>
    <n v="104"/>
    <n v="26"/>
    <n v="32.1"/>
    <s v="Advanced"/>
    <x v="4"/>
    <n v="139.03"/>
    <n v="7"/>
    <x v="1"/>
    <n v="5"/>
    <s v="High"/>
    <n v="7.3"/>
    <x v="3"/>
    <x v="3"/>
  </r>
  <r>
    <x v="517"/>
    <x v="2"/>
    <x v="9"/>
    <x v="4"/>
    <x v="0"/>
    <x v="3"/>
    <x v="0"/>
    <x v="3"/>
    <x v="3"/>
    <n v="11"/>
    <n v="0.9"/>
    <n v="1.7"/>
    <s v="Intermediate"/>
    <x v="4"/>
    <n v="76"/>
    <n v="5"/>
    <x v="3"/>
    <n v="5"/>
    <s v="Moderate"/>
    <n v="15.8"/>
    <x v="3"/>
    <x v="5"/>
  </r>
  <r>
    <x v="518"/>
    <x v="2"/>
    <x v="16"/>
    <x v="8"/>
    <x v="0"/>
    <x v="0"/>
    <x v="0"/>
    <x v="3"/>
    <x v="7"/>
    <n v="24"/>
    <n v="6.1"/>
    <n v="9.4"/>
    <s v="Intermediate"/>
    <x v="11"/>
    <n v="133.26"/>
    <n v="7"/>
    <x v="0"/>
    <n v="4"/>
    <s v="Moderate"/>
    <n v="8.9"/>
    <x v="3"/>
    <x v="1"/>
  </r>
  <r>
    <x v="519"/>
    <x v="0"/>
    <x v="5"/>
    <x v="6"/>
    <x v="3"/>
    <x v="0"/>
    <x v="1"/>
    <x v="3"/>
    <x v="3"/>
    <n v="21"/>
    <n v="2.2999999999999998"/>
    <n v="6.1"/>
    <s v="Intermediate"/>
    <x v="4"/>
    <n v="37.9"/>
    <n v="8"/>
    <x v="2"/>
    <n v="6"/>
    <s v="Moderate"/>
    <n v="7.5"/>
    <x v="3"/>
    <x v="0"/>
  </r>
  <r>
    <x v="520"/>
    <x v="2"/>
    <x v="7"/>
    <x v="10"/>
    <x v="3"/>
    <x v="7"/>
    <x v="3"/>
    <x v="3"/>
    <x v="3"/>
    <n v="8"/>
    <n v="5.3"/>
    <n v="0.7"/>
    <s v="Beginner"/>
    <x v="4"/>
    <n v="31.37"/>
    <n v="7"/>
    <x v="1"/>
    <n v="4"/>
    <s v="Low"/>
    <n v="7.8"/>
    <x v="3"/>
    <x v="0"/>
  </r>
  <r>
    <x v="521"/>
    <x v="0"/>
    <x v="2"/>
    <x v="9"/>
    <x v="1"/>
    <x v="6"/>
    <x v="0"/>
    <x v="3"/>
    <x v="3"/>
    <n v="13"/>
    <n v="5.2"/>
    <n v="10.4"/>
    <s v="Intermediate"/>
    <x v="38"/>
    <n v="28.71"/>
    <n v="7"/>
    <x v="0"/>
    <n v="5"/>
    <s v="Moderate"/>
    <n v="5.0999999999999996"/>
    <x v="0"/>
    <x v="3"/>
  </r>
  <r>
    <x v="522"/>
    <x v="0"/>
    <x v="12"/>
    <x v="8"/>
    <x v="1"/>
    <x v="5"/>
    <x v="3"/>
    <x v="3"/>
    <x v="6"/>
    <n v="10"/>
    <n v="1.7"/>
    <n v="0.4"/>
    <s v="Intermediate"/>
    <x v="16"/>
    <n v="67.56"/>
    <n v="7"/>
    <x v="0"/>
    <n v="5"/>
    <s v="Low"/>
    <n v="12.2"/>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C53C5F-9955-4C2E-96C1-84FA3D3CC166}" name="PivotTable14" cacheId="2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D40:I46" firstHeaderRow="1" firstDataRow="2" firstDataCol="1"/>
  <pivotFields count="22">
    <pivotField dataField="1" showAll="0">
      <items count="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items count="4">
        <item h="1" x="1"/>
        <item h="1" x="0"/>
        <item x="2"/>
        <item t="default"/>
      </items>
    </pivotField>
    <pivotField showAll="0">
      <items count="25">
        <item x="19"/>
        <item x="9"/>
        <item x="6"/>
        <item x="7"/>
        <item x="11"/>
        <item x="20"/>
        <item x="0"/>
        <item x="23"/>
        <item x="1"/>
        <item x="2"/>
        <item x="18"/>
        <item x="10"/>
        <item x="4"/>
        <item x="13"/>
        <item x="12"/>
        <item x="8"/>
        <item x="21"/>
        <item x="16"/>
        <item x="15"/>
        <item x="22"/>
        <item x="3"/>
        <item x="14"/>
        <item x="5"/>
        <item x="17"/>
        <item t="default"/>
      </items>
    </pivotField>
    <pivotField showAll="0">
      <items count="18">
        <item x="13"/>
        <item x="3"/>
        <item x="9"/>
        <item x="1"/>
        <item x="0"/>
        <item x="7"/>
        <item x="5"/>
        <item x="11"/>
        <item x="2"/>
        <item x="4"/>
        <item x="15"/>
        <item x="16"/>
        <item x="10"/>
        <item x="14"/>
        <item x="6"/>
        <item x="12"/>
        <item x="8"/>
        <item t="default"/>
      </items>
    </pivotField>
    <pivotField showAll="0"/>
    <pivotField showAll="0">
      <items count="21">
        <item h="1" x="12"/>
        <item h="1" x="10"/>
        <item h="1" x="4"/>
        <item h="1" x="13"/>
        <item h="1" x="17"/>
        <item h="1" x="5"/>
        <item h="1" x="11"/>
        <item h="1" x="3"/>
        <item h="1" x="15"/>
        <item h="1" x="2"/>
        <item h="1" x="7"/>
        <item x="8"/>
        <item h="1" x="6"/>
        <item h="1" x="9"/>
        <item h="1" x="19"/>
        <item h="1" x="0"/>
        <item h="1" x="18"/>
        <item h="1" x="1"/>
        <item h="1" x="16"/>
        <item h="1" x="14"/>
        <item t="default"/>
      </items>
    </pivotField>
    <pivotField showAll="0">
      <items count="12">
        <item x="6"/>
        <item x="4"/>
        <item x="3"/>
        <item x="7"/>
        <item x="8"/>
        <item x="0"/>
        <item x="9"/>
        <item x="1"/>
        <item x="5"/>
        <item x="2"/>
        <item x="10"/>
        <item t="default"/>
      </items>
    </pivotField>
    <pivotField axis="axisCol" showAll="0">
      <items count="6">
        <item x="0"/>
        <item x="2"/>
        <item x="3"/>
        <item x="4"/>
        <item x="1"/>
        <item t="default"/>
      </items>
    </pivotField>
    <pivotField showAll="0">
      <items count="13">
        <item x="9"/>
        <item x="11"/>
        <item x="1"/>
        <item x="3"/>
        <item x="5"/>
        <item x="2"/>
        <item x="7"/>
        <item x="8"/>
        <item x="6"/>
        <item x="10"/>
        <item x="4"/>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4"/>
        <item x="2"/>
        <item x="0"/>
        <item x="1"/>
        <item t="default"/>
      </items>
    </pivotField>
    <pivotField showAll="0"/>
  </pivotFields>
  <rowFields count="1">
    <field x="20"/>
  </rowFields>
  <rowItems count="5">
    <i>
      <x/>
    </i>
    <i>
      <x v="2"/>
    </i>
    <i>
      <x v="3"/>
    </i>
    <i>
      <x v="4"/>
    </i>
    <i t="grand">
      <x/>
    </i>
  </rowItems>
  <colFields count="1">
    <field x="7"/>
  </colFields>
  <colItems count="5">
    <i>
      <x/>
    </i>
    <i>
      <x v="1"/>
    </i>
    <i>
      <x v="2"/>
    </i>
    <i>
      <x v="4"/>
    </i>
    <i t="grand">
      <x/>
    </i>
  </colItems>
  <dataFields count="1">
    <dataField name="Count of Record_ID" fld="0" subtotal="count" baseField="0" baseItem="0"/>
  </dataFields>
  <chartFormats count="12">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2" format="10" series="1">
      <pivotArea type="data" outline="0" fieldPosition="0">
        <references count="2">
          <reference field="4294967294" count="1" selected="0">
            <x v="0"/>
          </reference>
          <reference field="7" count="1" selected="0">
            <x v="0"/>
          </reference>
        </references>
      </pivotArea>
    </chartFormat>
    <chartFormat chart="2" format="11" series="1">
      <pivotArea type="data" outline="0" fieldPosition="0">
        <references count="2">
          <reference field="4294967294" count="1" selected="0">
            <x v="0"/>
          </reference>
          <reference field="7" count="1" selected="0">
            <x v="1"/>
          </reference>
        </references>
      </pivotArea>
    </chartFormat>
    <chartFormat chart="2" format="12" series="1">
      <pivotArea type="data" outline="0" fieldPosition="0">
        <references count="2">
          <reference field="4294967294" count="1" selected="0">
            <x v="0"/>
          </reference>
          <reference field="7" count="1" selected="0">
            <x v="2"/>
          </reference>
        </references>
      </pivotArea>
    </chartFormat>
    <chartFormat chart="2" format="13" series="1">
      <pivotArea type="data" outline="0" fieldPosition="0">
        <references count="2">
          <reference field="4294967294" count="1" selected="0">
            <x v="0"/>
          </reference>
          <reference field="7" count="1" selected="0">
            <x v="3"/>
          </reference>
        </references>
      </pivotArea>
    </chartFormat>
    <chartFormat chart="2" format="14" series="1">
      <pivotArea type="data" outline="0" fieldPosition="0">
        <references count="2">
          <reference field="4294967294" count="1" selected="0">
            <x v="0"/>
          </reference>
          <reference field="7" count="1" selected="0">
            <x v="4"/>
          </reference>
        </references>
      </pivotArea>
    </chartFormat>
    <chartFormat chart="2" format="1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59E69A-465D-406E-A094-B12548D918BE}" name="PivotTable1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B25" firstHeaderRow="1" firstDataRow="1" firstDataCol="1"/>
  <pivotFields count="22">
    <pivotField showAll="0"/>
    <pivotField showAll="0">
      <items count="4">
        <item h="1" x="1"/>
        <item h="1" x="0"/>
        <item x="2"/>
        <item t="default"/>
      </items>
    </pivotField>
    <pivotField showAll="0">
      <items count="25">
        <item x="19"/>
        <item x="9"/>
        <item x="6"/>
        <item x="7"/>
        <item x="11"/>
        <item x="20"/>
        <item x="0"/>
        <item x="23"/>
        <item x="1"/>
        <item x="2"/>
        <item x="18"/>
        <item x="10"/>
        <item x="4"/>
        <item x="13"/>
        <item x="12"/>
        <item x="8"/>
        <item x="21"/>
        <item x="16"/>
        <item x="15"/>
        <item x="22"/>
        <item x="3"/>
        <item x="14"/>
        <item x="5"/>
        <item x="17"/>
        <item t="default"/>
      </items>
    </pivotField>
    <pivotField showAll="0">
      <items count="18">
        <item x="13"/>
        <item x="3"/>
        <item x="9"/>
        <item x="1"/>
        <item x="0"/>
        <item x="7"/>
        <item x="5"/>
        <item x="11"/>
        <item x="2"/>
        <item x="4"/>
        <item x="15"/>
        <item x="16"/>
        <item x="10"/>
        <item x="14"/>
        <item x="6"/>
        <item x="12"/>
        <item x="8"/>
        <item t="default"/>
      </items>
    </pivotField>
    <pivotField showAll="0"/>
    <pivotField showAll="0">
      <items count="21">
        <item h="1" x="12"/>
        <item h="1" x="10"/>
        <item h="1" x="4"/>
        <item h="1" x="13"/>
        <item h="1" x="17"/>
        <item h="1" x="5"/>
        <item h="1" x="11"/>
        <item h="1" x="3"/>
        <item h="1" x="15"/>
        <item h="1" x="2"/>
        <item h="1" x="7"/>
        <item x="8"/>
        <item h="1" x="6"/>
        <item h="1" x="9"/>
        <item h="1" x="19"/>
        <item h="1" x="0"/>
        <item h="1" x="18"/>
        <item h="1" x="1"/>
        <item h="1" x="16"/>
        <item h="1" x="14"/>
        <item t="default"/>
      </items>
    </pivotField>
    <pivotField showAll="0">
      <items count="12">
        <item x="6"/>
        <item x="4"/>
        <item x="3"/>
        <item x="7"/>
        <item x="8"/>
        <item x="0"/>
        <item x="9"/>
        <item x="1"/>
        <item x="5"/>
        <item x="2"/>
        <item x="10"/>
        <item t="default"/>
      </items>
    </pivotField>
    <pivotField axis="axisRow" showAll="0">
      <items count="6">
        <item x="0"/>
        <item x="2"/>
        <item x="3"/>
        <item x="4"/>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7"/>
  </rowFields>
  <rowItems count="5">
    <i>
      <x/>
    </i>
    <i>
      <x v="1"/>
    </i>
    <i>
      <x v="2"/>
    </i>
    <i>
      <x v="4"/>
    </i>
    <i t="grand">
      <x/>
    </i>
  </rowItems>
  <colItems count="1">
    <i/>
  </colItems>
  <dataFields count="1">
    <dataField name="Average of Job_Satisfaction" fld="15" subtotal="average" baseField="7"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F4644B-92AE-4835-8AAF-DDE643E3C058}" name="PivotTable1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23:O39" firstHeaderRow="1" firstDataRow="1" firstDataCol="1"/>
  <pivotFields count="22">
    <pivotField showAll="0"/>
    <pivotField showAll="0">
      <items count="4">
        <item h="1" x="1"/>
        <item h="1" x="0"/>
        <item x="2"/>
        <item t="default"/>
      </items>
    </pivotField>
    <pivotField showAll="0">
      <items count="25">
        <item x="19"/>
        <item x="9"/>
        <item x="6"/>
        <item x="7"/>
        <item x="11"/>
        <item x="20"/>
        <item x="0"/>
        <item x="23"/>
        <item x="1"/>
        <item x="2"/>
        <item x="18"/>
        <item x="10"/>
        <item x="4"/>
        <item x="13"/>
        <item x="12"/>
        <item x="8"/>
        <item x="21"/>
        <item x="16"/>
        <item x="15"/>
        <item x="22"/>
        <item x="3"/>
        <item x="14"/>
        <item x="5"/>
        <item x="17"/>
        <item t="default"/>
      </items>
    </pivotField>
    <pivotField showAll="0">
      <items count="18">
        <item x="13"/>
        <item x="3"/>
        <item x="9"/>
        <item x="1"/>
        <item x="0"/>
        <item x="7"/>
        <item x="5"/>
        <item x="11"/>
        <item x="2"/>
        <item x="4"/>
        <item x="15"/>
        <item x="16"/>
        <item x="10"/>
        <item x="14"/>
        <item x="6"/>
        <item x="12"/>
        <item x="8"/>
        <item t="default"/>
      </items>
    </pivotField>
    <pivotField showAll="0"/>
    <pivotField showAll="0">
      <items count="21">
        <item h="1" x="12"/>
        <item h="1" x="10"/>
        <item h="1" x="4"/>
        <item h="1" x="13"/>
        <item h="1" x="17"/>
        <item h="1" x="5"/>
        <item h="1" x="11"/>
        <item h="1" x="3"/>
        <item h="1" x="15"/>
        <item h="1" x="2"/>
        <item h="1" x="7"/>
        <item x="8"/>
        <item h="1" x="6"/>
        <item h="1" x="9"/>
        <item h="1" x="19"/>
        <item h="1" x="0"/>
        <item h="1" x="18"/>
        <item h="1" x="1"/>
        <item h="1" x="16"/>
        <item h="1" x="14"/>
        <item t="default"/>
      </items>
    </pivotField>
    <pivotField showAll="0">
      <items count="12">
        <item x="6"/>
        <item x="4"/>
        <item x="3"/>
        <item x="7"/>
        <item x="8"/>
        <item x="0"/>
        <item x="9"/>
        <item x="1"/>
        <item x="5"/>
        <item x="2"/>
        <item x="10"/>
        <item t="default"/>
      </items>
    </pivotField>
    <pivotField showAll="0">
      <items count="6">
        <item x="0"/>
        <item x="2"/>
        <item x="3"/>
        <item x="4"/>
        <item x="1"/>
        <item t="default"/>
      </items>
    </pivotField>
    <pivotField showAll="0"/>
    <pivotField showAll="0"/>
    <pivotField showAll="0"/>
    <pivotField dataField="1" showAll="0"/>
    <pivotField showAll="0"/>
    <pivotField axis="axisRow" showAll="0">
      <items count="72">
        <item x="44"/>
        <item x="4"/>
        <item x="16"/>
        <item x="1"/>
        <item x="11"/>
        <item x="36"/>
        <item x="7"/>
        <item x="14"/>
        <item x="6"/>
        <item x="24"/>
        <item x="13"/>
        <item x="29"/>
        <item x="33"/>
        <item x="17"/>
        <item x="12"/>
        <item x="10"/>
        <item x="0"/>
        <item x="26"/>
        <item x="18"/>
        <item x="42"/>
        <item x="38"/>
        <item x="19"/>
        <item x="31"/>
        <item x="22"/>
        <item x="30"/>
        <item x="37"/>
        <item x="2"/>
        <item x="32"/>
        <item x="41"/>
        <item x="45"/>
        <item x="5"/>
        <item x="25"/>
        <item x="70"/>
        <item x="57"/>
        <item x="9"/>
        <item x="40"/>
        <item x="23"/>
        <item x="15"/>
        <item x="52"/>
        <item x="43"/>
        <item x="49"/>
        <item x="27"/>
        <item x="8"/>
        <item x="68"/>
        <item x="39"/>
        <item x="61"/>
        <item x="28"/>
        <item x="20"/>
        <item x="55"/>
        <item x="34"/>
        <item x="59"/>
        <item x="64"/>
        <item x="53"/>
        <item x="63"/>
        <item x="58"/>
        <item x="69"/>
        <item x="51"/>
        <item x="35"/>
        <item x="3"/>
        <item x="60"/>
        <item x="54"/>
        <item x="50"/>
        <item x="47"/>
        <item x="46"/>
        <item x="21"/>
        <item x="65"/>
        <item x="62"/>
        <item x="56"/>
        <item x="66"/>
        <item x="67"/>
        <item x="48"/>
        <item t="default"/>
      </items>
    </pivotField>
    <pivotField showAll="0"/>
    <pivotField showAll="0"/>
    <pivotField showAll="0"/>
    <pivotField showAll="0"/>
    <pivotField showAll="0"/>
    <pivotField showAll="0"/>
    <pivotField showAll="0"/>
    <pivotField showAll="0"/>
  </pivotFields>
  <rowFields count="1">
    <field x="13"/>
  </rowFields>
  <rowItems count="16">
    <i>
      <x v="1"/>
    </i>
    <i>
      <x v="4"/>
    </i>
    <i>
      <x v="8"/>
    </i>
    <i>
      <x v="18"/>
    </i>
    <i>
      <x v="23"/>
    </i>
    <i>
      <x v="32"/>
    </i>
    <i>
      <x v="33"/>
    </i>
    <i>
      <x v="34"/>
    </i>
    <i>
      <x v="36"/>
    </i>
    <i>
      <x v="38"/>
    </i>
    <i>
      <x v="40"/>
    </i>
    <i>
      <x v="43"/>
    </i>
    <i>
      <x v="46"/>
    </i>
    <i>
      <x v="51"/>
    </i>
    <i>
      <x v="62"/>
    </i>
    <i t="grand">
      <x/>
    </i>
  </rowItems>
  <colItems count="1">
    <i/>
  </colItems>
  <dataFields count="1">
    <dataField name="Sum of Productivity_Change_Percent"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A62E79-AED8-440A-A27E-170229455073}" name="PivotTable1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14:N16" firstHeaderRow="1" firstDataRow="1" firstDataCol="1"/>
  <pivotFields count="22">
    <pivotField showAll="0"/>
    <pivotField axis="axisRow" showAll="0">
      <items count="4">
        <item h="1" x="1"/>
        <item h="1" x="0"/>
        <item x="2"/>
        <item t="default"/>
      </items>
    </pivotField>
    <pivotField showAll="0">
      <items count="25">
        <item x="19"/>
        <item x="9"/>
        <item x="6"/>
        <item x="7"/>
        <item x="11"/>
        <item x="20"/>
        <item x="0"/>
        <item x="23"/>
        <item x="1"/>
        <item x="2"/>
        <item x="18"/>
        <item x="10"/>
        <item x="4"/>
        <item x="13"/>
        <item x="12"/>
        <item x="8"/>
        <item x="21"/>
        <item x="16"/>
        <item x="15"/>
        <item x="22"/>
        <item x="3"/>
        <item x="14"/>
        <item x="5"/>
        <item x="17"/>
        <item t="default"/>
      </items>
    </pivotField>
    <pivotField showAll="0">
      <items count="18">
        <item x="13"/>
        <item x="3"/>
        <item x="9"/>
        <item x="1"/>
        <item x="0"/>
        <item x="7"/>
        <item x="5"/>
        <item x="11"/>
        <item x="2"/>
        <item x="4"/>
        <item x="15"/>
        <item x="16"/>
        <item x="10"/>
        <item x="14"/>
        <item x="6"/>
        <item x="12"/>
        <item x="8"/>
        <item t="default"/>
      </items>
    </pivotField>
    <pivotField showAll="0"/>
    <pivotField showAll="0">
      <items count="21">
        <item h="1" x="12"/>
        <item h="1" x="10"/>
        <item h="1" x="4"/>
        <item h="1" x="13"/>
        <item h="1" x="17"/>
        <item h="1" x="5"/>
        <item h="1" x="11"/>
        <item h="1" x="3"/>
        <item h="1" x="15"/>
        <item h="1" x="2"/>
        <item h="1" x="7"/>
        <item x="8"/>
        <item h="1" x="6"/>
        <item h="1" x="9"/>
        <item h="1" x="19"/>
        <item h="1" x="0"/>
        <item h="1" x="18"/>
        <item h="1" x="1"/>
        <item h="1" x="16"/>
        <item h="1" x="14"/>
        <item t="default"/>
      </items>
    </pivotField>
    <pivotField showAll="0">
      <items count="12">
        <item x="6"/>
        <item x="4"/>
        <item x="3"/>
        <item x="7"/>
        <item x="8"/>
        <item x="0"/>
        <item x="9"/>
        <item x="1"/>
        <item x="5"/>
        <item x="2"/>
        <item x="10"/>
        <item t="default"/>
      </items>
    </pivotField>
    <pivotField showAll="0">
      <items count="6">
        <item x="0"/>
        <item x="2"/>
        <item x="3"/>
        <item x="4"/>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v="2"/>
    </i>
    <i t="grand">
      <x/>
    </i>
  </rowItems>
  <colItems count="1">
    <i/>
  </colItems>
  <dataFields count="1">
    <dataField name="Average of Hours_Saved_Per_Week" fld="10" subtotal="average" baseField="1" baseItem="0" numFmtId="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A8C653-A6F4-4FEF-B753-83F4A73709AB}" name="PivotTable10"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N7" firstHeaderRow="1" firstDataRow="1" firstDataCol="1"/>
  <pivotFields count="22">
    <pivotField dataField="1" showAll="0">
      <items count="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items count="4">
        <item h="1" x="1"/>
        <item h="1" x="0"/>
        <item x="2"/>
        <item t="default"/>
      </items>
    </pivotField>
    <pivotField showAll="0">
      <items count="25">
        <item x="19"/>
        <item x="9"/>
        <item x="6"/>
        <item x="7"/>
        <item x="11"/>
        <item x="20"/>
        <item x="0"/>
        <item x="23"/>
        <item x="1"/>
        <item x="2"/>
        <item x="18"/>
        <item x="10"/>
        <item x="4"/>
        <item x="13"/>
        <item x="12"/>
        <item x="8"/>
        <item x="21"/>
        <item x="16"/>
        <item x="15"/>
        <item x="22"/>
        <item x="3"/>
        <item x="14"/>
        <item x="5"/>
        <item x="17"/>
        <item t="default"/>
      </items>
    </pivotField>
    <pivotField showAll="0">
      <items count="18">
        <item x="13"/>
        <item x="3"/>
        <item x="9"/>
        <item x="1"/>
        <item x="0"/>
        <item x="7"/>
        <item x="5"/>
        <item x="11"/>
        <item x="2"/>
        <item x="4"/>
        <item x="15"/>
        <item x="16"/>
        <item x="10"/>
        <item x="14"/>
        <item x="6"/>
        <item x="12"/>
        <item x="8"/>
        <item t="default"/>
      </items>
    </pivotField>
    <pivotField showAll="0"/>
    <pivotField showAll="0">
      <items count="21">
        <item h="1" x="12"/>
        <item h="1" x="10"/>
        <item h="1" x="4"/>
        <item h="1" x="13"/>
        <item h="1" x="17"/>
        <item h="1" x="5"/>
        <item h="1" x="11"/>
        <item h="1" x="3"/>
        <item h="1" x="15"/>
        <item h="1" x="2"/>
        <item h="1" x="7"/>
        <item x="8"/>
        <item h="1" x="6"/>
        <item h="1" x="9"/>
        <item h="1" x="19"/>
        <item h="1" x="0"/>
        <item h="1" x="18"/>
        <item h="1" x="1"/>
        <item h="1" x="16"/>
        <item h="1" x="14"/>
        <item t="default"/>
      </items>
    </pivotField>
    <pivotField showAll="0">
      <items count="12">
        <item x="6"/>
        <item x="4"/>
        <item x="3"/>
        <item x="7"/>
        <item x="8"/>
        <item x="0"/>
        <item x="9"/>
        <item x="1"/>
        <item x="5"/>
        <item x="2"/>
        <item x="10"/>
        <item t="default"/>
      </items>
    </pivotField>
    <pivotField showAll="0">
      <items count="6">
        <item x="0"/>
        <item x="2"/>
        <item x="3"/>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3"/>
        <item x="4"/>
        <item x="5"/>
        <item x="6"/>
        <item x="1"/>
        <item x="0"/>
        <item x="2"/>
        <item t="default"/>
      </items>
    </pivotField>
  </pivotFields>
  <rowFields count="1">
    <field x="21"/>
  </rowFields>
  <rowItems count="4">
    <i>
      <x/>
    </i>
    <i>
      <x v="4"/>
    </i>
    <i>
      <x v="5"/>
    </i>
    <i t="grand">
      <x/>
    </i>
  </rowItems>
  <colItems count="1">
    <i/>
  </colItems>
  <dataFields count="1">
    <dataField name="Count of Record_ID" fld="0" subtotal="count" baseField="0" baseItem="0"/>
  </dataFields>
  <chartFormats count="9">
    <chartFormat chart="0"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21" count="1" selected="0">
            <x v="0"/>
          </reference>
        </references>
      </pivotArea>
    </chartFormat>
    <chartFormat chart="3" format="11">
      <pivotArea type="data" outline="0" fieldPosition="0">
        <references count="2">
          <reference field="4294967294" count="1" selected="0">
            <x v="0"/>
          </reference>
          <reference field="21" count="1" selected="0">
            <x v="1"/>
          </reference>
        </references>
      </pivotArea>
    </chartFormat>
    <chartFormat chart="3" format="12">
      <pivotArea type="data" outline="0" fieldPosition="0">
        <references count="2">
          <reference field="4294967294" count="1" selected="0">
            <x v="0"/>
          </reference>
          <reference field="21" count="1" selected="0">
            <x v="2"/>
          </reference>
        </references>
      </pivotArea>
    </chartFormat>
    <chartFormat chart="3" format="13">
      <pivotArea type="data" outline="0" fieldPosition="0">
        <references count="2">
          <reference field="4294967294" count="1" selected="0">
            <x v="0"/>
          </reference>
          <reference field="21" count="1" selected="0">
            <x v="3"/>
          </reference>
        </references>
      </pivotArea>
    </chartFormat>
    <chartFormat chart="3" format="14">
      <pivotArea type="data" outline="0" fieldPosition="0">
        <references count="2">
          <reference field="4294967294" count="1" selected="0">
            <x v="0"/>
          </reference>
          <reference field="21" count="1" selected="0">
            <x v="4"/>
          </reference>
        </references>
      </pivotArea>
    </chartFormat>
    <chartFormat chart="3" format="15">
      <pivotArea type="data" outline="0" fieldPosition="0">
        <references count="2">
          <reference field="4294967294" count="1" selected="0">
            <x v="0"/>
          </reference>
          <reference field="21" count="1" selected="0">
            <x v="5"/>
          </reference>
        </references>
      </pivotArea>
    </chartFormat>
    <chartFormat chart="3" format="16">
      <pivotArea type="data" outline="0" fieldPosition="0">
        <references count="2">
          <reference field="4294967294" count="1" selected="0">
            <x v="0"/>
          </reference>
          <reference field="2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FE7861-9BEF-47E6-AC98-59AEA1C47B8C}" name="PivotTable9"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5:E23" firstHeaderRow="1" firstDataRow="1" firstDataCol="1"/>
  <pivotFields count="22">
    <pivotField showAll="0"/>
    <pivotField showAll="0">
      <items count="4">
        <item h="1" x="1"/>
        <item h="1" x="0"/>
        <item x="2"/>
        <item t="default"/>
      </items>
    </pivotField>
    <pivotField showAll="0">
      <items count="25">
        <item x="19"/>
        <item x="9"/>
        <item x="6"/>
        <item x="7"/>
        <item x="11"/>
        <item x="20"/>
        <item x="0"/>
        <item x="23"/>
        <item x="1"/>
        <item x="2"/>
        <item x="18"/>
        <item x="10"/>
        <item x="4"/>
        <item x="13"/>
        <item x="12"/>
        <item x="8"/>
        <item x="21"/>
        <item x="16"/>
        <item x="15"/>
        <item x="22"/>
        <item x="3"/>
        <item x="14"/>
        <item x="5"/>
        <item x="17"/>
        <item t="default"/>
      </items>
    </pivotField>
    <pivotField axis="axisRow" showAll="0">
      <items count="18">
        <item x="13"/>
        <item x="3"/>
        <item x="9"/>
        <item x="1"/>
        <item x="0"/>
        <item x="7"/>
        <item x="5"/>
        <item x="11"/>
        <item x="2"/>
        <item x="4"/>
        <item x="15"/>
        <item x="16"/>
        <item x="10"/>
        <item x="14"/>
        <item x="6"/>
        <item x="12"/>
        <item x="8"/>
        <item t="default"/>
      </items>
    </pivotField>
    <pivotField showAll="0"/>
    <pivotField showAll="0">
      <items count="21">
        <item h="1" x="12"/>
        <item h="1" x="10"/>
        <item h="1" x="4"/>
        <item h="1" x="13"/>
        <item h="1" x="17"/>
        <item h="1" x="5"/>
        <item h="1" x="11"/>
        <item h="1" x="3"/>
        <item h="1" x="15"/>
        <item h="1" x="2"/>
        <item h="1" x="7"/>
        <item x="8"/>
        <item h="1" x="6"/>
        <item h="1" x="9"/>
        <item h="1" x="19"/>
        <item h="1" x="0"/>
        <item h="1" x="18"/>
        <item h="1" x="1"/>
        <item h="1" x="16"/>
        <item h="1" x="14"/>
        <item t="default"/>
      </items>
    </pivotField>
    <pivotField showAll="0">
      <items count="12">
        <item x="6"/>
        <item x="4"/>
        <item x="3"/>
        <item x="7"/>
        <item x="8"/>
        <item x="0"/>
        <item x="9"/>
        <item x="1"/>
        <item x="5"/>
        <item x="2"/>
        <item x="10"/>
        <item t="default"/>
      </items>
    </pivotField>
    <pivotField showAll="0">
      <items count="6">
        <item x="0"/>
        <item x="2"/>
        <item x="3"/>
        <item x="4"/>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3"/>
  </rowFields>
  <rowItems count="8">
    <i>
      <x v="1"/>
    </i>
    <i>
      <x v="2"/>
    </i>
    <i>
      <x v="3"/>
    </i>
    <i>
      <x v="5"/>
    </i>
    <i>
      <x v="8"/>
    </i>
    <i>
      <x v="14"/>
    </i>
    <i>
      <x v="16"/>
    </i>
    <i t="grand">
      <x/>
    </i>
  </rowItems>
  <colItems count="1">
    <i/>
  </colItems>
  <dataFields count="1">
    <dataField name="Average of Productivity_Change_Percent" fld="11" subtotal="average" baseField="3" baseItem="4" numFmtId="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6DF4A5-FAB1-4873-90EC-67B1DDFAF4C5}" name="PivotTable8"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8" firstHeaderRow="1" firstDataRow="1" firstDataCol="1"/>
  <pivotFields count="22">
    <pivotField dataField="1" showAll="0">
      <items count="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items count="4">
        <item h="1" x="1"/>
        <item h="1" x="0"/>
        <item x="2"/>
        <item t="default"/>
      </items>
    </pivotField>
    <pivotField showAll="0">
      <items count="25">
        <item x="19"/>
        <item x="9"/>
        <item x="6"/>
        <item x="7"/>
        <item x="11"/>
        <item x="20"/>
        <item x="0"/>
        <item x="23"/>
        <item x="1"/>
        <item x="2"/>
        <item x="18"/>
        <item x="10"/>
        <item x="4"/>
        <item x="13"/>
        <item x="12"/>
        <item x="8"/>
        <item x="21"/>
        <item x="16"/>
        <item x="15"/>
        <item x="22"/>
        <item x="3"/>
        <item x="14"/>
        <item x="5"/>
        <item x="17"/>
        <item t="default"/>
      </items>
    </pivotField>
    <pivotField showAll="0">
      <items count="18">
        <item x="13"/>
        <item x="3"/>
        <item x="9"/>
        <item x="1"/>
        <item x="0"/>
        <item x="7"/>
        <item x="5"/>
        <item x="11"/>
        <item x="2"/>
        <item x="4"/>
        <item x="15"/>
        <item x="16"/>
        <item x="10"/>
        <item x="14"/>
        <item x="6"/>
        <item x="12"/>
        <item x="8"/>
        <item t="default"/>
      </items>
    </pivotField>
    <pivotField showAll="0"/>
    <pivotField showAll="0">
      <items count="21">
        <item h="1" x="12"/>
        <item h="1" x="10"/>
        <item h="1" x="4"/>
        <item h="1" x="13"/>
        <item h="1" x="17"/>
        <item h="1" x="5"/>
        <item h="1" x="11"/>
        <item h="1" x="3"/>
        <item h="1" x="15"/>
        <item h="1" x="2"/>
        <item h="1" x="7"/>
        <item x="8"/>
        <item h="1" x="6"/>
        <item h="1" x="9"/>
        <item h="1" x="19"/>
        <item h="1" x="0"/>
        <item h="1" x="18"/>
        <item h="1" x="1"/>
        <item h="1" x="16"/>
        <item h="1" x="14"/>
        <item t="default"/>
      </items>
    </pivotField>
    <pivotField showAll="0">
      <items count="12">
        <item x="6"/>
        <item x="4"/>
        <item x="3"/>
        <item x="7"/>
        <item x="8"/>
        <item x="0"/>
        <item x="9"/>
        <item x="1"/>
        <item x="5"/>
        <item x="2"/>
        <item x="10"/>
        <item t="default"/>
      </items>
    </pivotField>
    <pivotField axis="axisRow" showAll="0">
      <items count="6">
        <item x="0"/>
        <item x="2"/>
        <item x="3"/>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5">
    <i>
      <x/>
    </i>
    <i>
      <x v="1"/>
    </i>
    <i>
      <x v="2"/>
    </i>
    <i>
      <x v="4"/>
    </i>
    <i t="grand">
      <x/>
    </i>
  </rowItems>
  <colItems count="1">
    <i/>
  </colItems>
  <dataFields count="1">
    <dataField name="Count of Record_ID"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440EAE-6B08-4CC7-A095-A2130299538F}" name="PivotTable7"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2">
    <pivotField showAll="0"/>
    <pivotField showAll="0">
      <items count="4">
        <item h="1" x="1"/>
        <item h="1" x="0"/>
        <item x="2"/>
        <item t="default"/>
      </items>
    </pivotField>
    <pivotField showAll="0">
      <items count="25">
        <item x="19"/>
        <item x="9"/>
        <item x="6"/>
        <item x="7"/>
        <item x="11"/>
        <item x="20"/>
        <item x="0"/>
        <item x="23"/>
        <item x="1"/>
        <item x="2"/>
        <item x="18"/>
        <item x="10"/>
        <item x="4"/>
        <item x="13"/>
        <item x="12"/>
        <item x="8"/>
        <item x="21"/>
        <item x="16"/>
        <item x="15"/>
        <item x="22"/>
        <item x="3"/>
        <item x="14"/>
        <item x="5"/>
        <item x="17"/>
        <item t="default"/>
      </items>
    </pivotField>
    <pivotField showAll="0">
      <items count="18">
        <item x="13"/>
        <item x="3"/>
        <item x="9"/>
        <item x="1"/>
        <item x="0"/>
        <item x="7"/>
        <item x="5"/>
        <item x="11"/>
        <item x="2"/>
        <item x="4"/>
        <item x="15"/>
        <item x="16"/>
        <item x="10"/>
        <item x="14"/>
        <item x="6"/>
        <item x="12"/>
        <item x="8"/>
        <item t="default"/>
      </items>
    </pivotField>
    <pivotField showAll="0"/>
    <pivotField showAll="0">
      <items count="21">
        <item h="1" x="12"/>
        <item h="1" x="10"/>
        <item h="1" x="4"/>
        <item h="1" x="13"/>
        <item h="1" x="17"/>
        <item h="1" x="5"/>
        <item h="1" x="11"/>
        <item h="1" x="3"/>
        <item h="1" x="15"/>
        <item h="1" x="2"/>
        <item h="1" x="7"/>
        <item x="8"/>
        <item h="1" x="6"/>
        <item h="1" x="9"/>
        <item h="1" x="19"/>
        <item h="1" x="0"/>
        <item h="1" x="18"/>
        <item h="1" x="1"/>
        <item h="1" x="16"/>
        <item h="1" x="14"/>
        <item t="default"/>
      </items>
    </pivotField>
    <pivotField showAll="0">
      <items count="12">
        <item x="6"/>
        <item x="4"/>
        <item x="3"/>
        <item x="7"/>
        <item x="8"/>
        <item x="0"/>
        <item x="9"/>
        <item x="1"/>
        <item x="5"/>
        <item x="2"/>
        <item x="10"/>
        <item t="default"/>
      </items>
    </pivotField>
    <pivotField showAll="0">
      <items count="6">
        <item x="0"/>
        <item x="2"/>
        <item x="3"/>
        <item x="4"/>
        <item x="1"/>
        <item t="default"/>
      </items>
    </pivotField>
    <pivotField showAll="0">
      <items count="13">
        <item x="9"/>
        <item x="11"/>
        <item x="1"/>
        <item x="3"/>
        <item x="5"/>
        <item x="2"/>
        <item x="7"/>
        <item x="8"/>
        <item x="6"/>
        <item x="10"/>
        <item x="4"/>
        <item x="0"/>
        <item t="default"/>
      </items>
    </pivotField>
    <pivotField showAll="0"/>
    <pivotField showAll="0"/>
    <pivotField dataField="1" showAll="0"/>
    <pivotField showAll="0"/>
    <pivotField showAll="0"/>
    <pivotField showAll="0"/>
    <pivotField showAll="0"/>
    <pivotField showAll="0">
      <items count="5">
        <item x="2"/>
        <item x="1"/>
        <item x="0"/>
        <item x="3"/>
        <item t="default"/>
      </items>
    </pivotField>
    <pivotField showAll="0"/>
    <pivotField showAll="0"/>
    <pivotField showAll="0"/>
    <pivotField showAll="0"/>
    <pivotField showAll="0"/>
  </pivotFields>
  <rowItems count="1">
    <i/>
  </rowItems>
  <colItems count="1">
    <i/>
  </colItems>
  <dataFields count="1">
    <dataField name="Average of Productivity_Change_Percent" fld="11"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3BBF73C-18E0-4B87-9D1D-74B455F51704}" name="PivotTable6"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22">
    <pivotField showAll="0"/>
    <pivotField showAll="0">
      <items count="4">
        <item h="1" x="1"/>
        <item h="1" x="0"/>
        <item x="2"/>
        <item t="default"/>
      </items>
    </pivotField>
    <pivotField showAll="0">
      <items count="25">
        <item x="19"/>
        <item x="9"/>
        <item x="6"/>
        <item x="7"/>
        <item x="11"/>
        <item x="20"/>
        <item x="0"/>
        <item x="23"/>
        <item x="1"/>
        <item x="2"/>
        <item x="18"/>
        <item x="10"/>
        <item x="4"/>
        <item x="13"/>
        <item x="12"/>
        <item x="8"/>
        <item x="21"/>
        <item x="16"/>
        <item x="15"/>
        <item x="22"/>
        <item x="3"/>
        <item x="14"/>
        <item x="5"/>
        <item x="17"/>
        <item t="default"/>
      </items>
    </pivotField>
    <pivotField showAll="0">
      <items count="18">
        <item x="13"/>
        <item x="3"/>
        <item x="9"/>
        <item x="1"/>
        <item x="0"/>
        <item x="7"/>
        <item x="5"/>
        <item x="11"/>
        <item x="2"/>
        <item x="4"/>
        <item x="15"/>
        <item x="16"/>
        <item x="10"/>
        <item x="14"/>
        <item x="6"/>
        <item x="12"/>
        <item x="8"/>
        <item t="default"/>
      </items>
    </pivotField>
    <pivotField showAll="0">
      <items count="11">
        <item x="9"/>
        <item x="0"/>
        <item x="4"/>
        <item x="2"/>
        <item x="6"/>
        <item x="7"/>
        <item x="1"/>
        <item x="5"/>
        <item x="8"/>
        <item x="3"/>
        <item t="default"/>
      </items>
    </pivotField>
    <pivotField showAll="0">
      <items count="21">
        <item h="1" x="12"/>
        <item h="1" x="10"/>
        <item h="1" x="4"/>
        <item h="1" x="13"/>
        <item h="1" x="17"/>
        <item h="1" x="5"/>
        <item h="1" x="11"/>
        <item h="1" x="3"/>
        <item h="1" x="15"/>
        <item h="1" x="2"/>
        <item h="1" x="7"/>
        <item x="8"/>
        <item h="1" x="6"/>
        <item h="1" x="9"/>
        <item h="1" x="19"/>
        <item h="1" x="0"/>
        <item h="1" x="18"/>
        <item h="1" x="1"/>
        <item h="1" x="16"/>
        <item h="1" x="14"/>
        <item t="default"/>
      </items>
    </pivotField>
    <pivotField showAll="0">
      <items count="12">
        <item x="6"/>
        <item x="4"/>
        <item x="3"/>
        <item x="7"/>
        <item x="8"/>
        <item x="0"/>
        <item x="9"/>
        <item x="1"/>
        <item x="5"/>
        <item x="2"/>
        <item x="10"/>
        <item t="default"/>
      </items>
    </pivotField>
    <pivotField showAll="0">
      <items count="6">
        <item x="0"/>
        <item x="2"/>
        <item x="3"/>
        <item x="4"/>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Sum of Training_Hour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FB6D13-E86A-41EA-AB6A-430A31080891}" name="PivotTable5"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2">
    <pivotField showAll="0"/>
    <pivotField showAll="0">
      <items count="4">
        <item h="1" x="1"/>
        <item h="1" x="0"/>
        <item x="2"/>
        <item t="default"/>
      </items>
    </pivotField>
    <pivotField showAll="0">
      <items count="25">
        <item x="19"/>
        <item x="9"/>
        <item x="6"/>
        <item x="7"/>
        <item x="11"/>
        <item x="20"/>
        <item x="0"/>
        <item x="23"/>
        <item x="1"/>
        <item x="2"/>
        <item x="18"/>
        <item x="10"/>
        <item x="4"/>
        <item x="13"/>
        <item x="12"/>
        <item x="8"/>
        <item x="21"/>
        <item x="16"/>
        <item x="15"/>
        <item x="22"/>
        <item x="3"/>
        <item x="14"/>
        <item x="5"/>
        <item x="17"/>
        <item t="default"/>
      </items>
    </pivotField>
    <pivotField showAll="0">
      <items count="18">
        <item x="13"/>
        <item x="3"/>
        <item x="9"/>
        <item x="1"/>
        <item x="0"/>
        <item x="7"/>
        <item x="5"/>
        <item x="11"/>
        <item x="2"/>
        <item x="4"/>
        <item x="15"/>
        <item x="16"/>
        <item x="10"/>
        <item x="14"/>
        <item x="6"/>
        <item x="12"/>
        <item x="8"/>
        <item t="default"/>
      </items>
    </pivotField>
    <pivotField showAll="0"/>
    <pivotField showAll="0">
      <items count="21">
        <item h="1" x="12"/>
        <item h="1" x="10"/>
        <item h="1" x="4"/>
        <item h="1" x="13"/>
        <item h="1" x="17"/>
        <item h="1" x="5"/>
        <item h="1" x="11"/>
        <item h="1" x="3"/>
        <item h="1" x="15"/>
        <item h="1" x="2"/>
        <item h="1" x="7"/>
        <item x="8"/>
        <item h="1" x="6"/>
        <item h="1" x="9"/>
        <item h="1" x="19"/>
        <item h="1" x="0"/>
        <item h="1" x="18"/>
        <item h="1" x="1"/>
        <item h="1" x="16"/>
        <item h="1" x="14"/>
        <item t="default"/>
      </items>
    </pivotField>
    <pivotField showAll="0">
      <items count="12">
        <item x="6"/>
        <item x="4"/>
        <item x="3"/>
        <item x="7"/>
        <item x="8"/>
        <item x="0"/>
        <item x="9"/>
        <item x="1"/>
        <item x="5"/>
        <item x="2"/>
        <item x="10"/>
        <item t="default"/>
      </items>
    </pivotField>
    <pivotField showAll="0">
      <items count="6">
        <item x="0"/>
        <item x="2"/>
        <item x="3"/>
        <item x="4"/>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Average of Monthly_AI_Cost" fld="14"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949A21-CAED-4EC5-8127-D4F72010697C}" name="PivotTable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22">
    <pivotField showAll="0"/>
    <pivotField showAll="0">
      <items count="4">
        <item h="1" x="1"/>
        <item h="1" x="0"/>
        <item x="2"/>
        <item t="default"/>
      </items>
    </pivotField>
    <pivotField showAll="0">
      <items count="25">
        <item x="19"/>
        <item x="9"/>
        <item x="6"/>
        <item x="7"/>
        <item x="11"/>
        <item x="20"/>
        <item x="0"/>
        <item x="23"/>
        <item x="1"/>
        <item x="2"/>
        <item x="18"/>
        <item x="10"/>
        <item x="4"/>
        <item x="13"/>
        <item x="12"/>
        <item x="8"/>
        <item x="21"/>
        <item x="16"/>
        <item x="15"/>
        <item x="22"/>
        <item x="3"/>
        <item x="14"/>
        <item x="5"/>
        <item x="17"/>
        <item t="default"/>
      </items>
    </pivotField>
    <pivotField showAll="0">
      <items count="18">
        <item x="13"/>
        <item x="3"/>
        <item x="9"/>
        <item x="1"/>
        <item x="0"/>
        <item x="7"/>
        <item x="5"/>
        <item x="11"/>
        <item x="2"/>
        <item x="4"/>
        <item x="15"/>
        <item x="16"/>
        <item x="10"/>
        <item x="14"/>
        <item x="6"/>
        <item x="12"/>
        <item x="8"/>
        <item t="default"/>
      </items>
    </pivotField>
    <pivotField showAll="0"/>
    <pivotField showAll="0">
      <items count="21">
        <item h="1" x="12"/>
        <item h="1" x="10"/>
        <item h="1" x="4"/>
        <item h="1" x="13"/>
        <item h="1" x="17"/>
        <item h="1" x="5"/>
        <item h="1" x="11"/>
        <item h="1" x="3"/>
        <item h="1" x="15"/>
        <item h="1" x="2"/>
        <item h="1" x="7"/>
        <item x="8"/>
        <item h="1" x="6"/>
        <item h="1" x="9"/>
        <item h="1" x="19"/>
        <item h="1" x="0"/>
        <item h="1" x="18"/>
        <item h="1" x="1"/>
        <item h="1" x="16"/>
        <item h="1" x="14"/>
        <item t="default"/>
      </items>
    </pivotField>
    <pivotField showAll="0">
      <items count="12">
        <item x="6"/>
        <item x="4"/>
        <item x="3"/>
        <item x="7"/>
        <item x="8"/>
        <item x="0"/>
        <item x="9"/>
        <item x="1"/>
        <item x="5"/>
        <item x="2"/>
        <item x="10"/>
        <item t="default"/>
      </items>
    </pivotField>
    <pivotField showAll="0">
      <items count="6">
        <item x="0"/>
        <item x="2"/>
        <item x="3"/>
        <item x="4"/>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Job_Satisfaction" fld="15"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46AA0E1-9912-4BCA-931E-AE790CDDE178}" name="PivotTable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2">
    <pivotField showAll="0"/>
    <pivotField showAll="0">
      <items count="4">
        <item h="1" x="1"/>
        <item h="1" x="0"/>
        <item x="2"/>
        <item t="default"/>
      </items>
    </pivotField>
    <pivotField showAll="0">
      <items count="25">
        <item x="19"/>
        <item x="9"/>
        <item x="6"/>
        <item x="7"/>
        <item x="11"/>
        <item x="20"/>
        <item x="0"/>
        <item x="23"/>
        <item x="1"/>
        <item x="2"/>
        <item x="18"/>
        <item x="10"/>
        <item x="4"/>
        <item x="13"/>
        <item x="12"/>
        <item x="8"/>
        <item x="21"/>
        <item x="16"/>
        <item x="15"/>
        <item x="22"/>
        <item x="3"/>
        <item x="14"/>
        <item x="5"/>
        <item x="17"/>
        <item t="default"/>
      </items>
    </pivotField>
    <pivotField showAll="0">
      <items count="18">
        <item x="13"/>
        <item x="3"/>
        <item x="9"/>
        <item x="1"/>
        <item x="0"/>
        <item x="7"/>
        <item x="5"/>
        <item x="11"/>
        <item x="2"/>
        <item x="4"/>
        <item x="15"/>
        <item x="16"/>
        <item x="10"/>
        <item x="14"/>
        <item x="6"/>
        <item x="12"/>
        <item x="8"/>
        <item t="default"/>
      </items>
    </pivotField>
    <pivotField showAll="0"/>
    <pivotField showAll="0">
      <items count="21">
        <item h="1" x="12"/>
        <item h="1" x="10"/>
        <item h="1" x="4"/>
        <item h="1" x="13"/>
        <item h="1" x="17"/>
        <item h="1" x="5"/>
        <item h="1" x="11"/>
        <item h="1" x="3"/>
        <item h="1" x="15"/>
        <item h="1" x="2"/>
        <item h="1" x="7"/>
        <item x="8"/>
        <item h="1" x="6"/>
        <item h="1" x="9"/>
        <item h="1" x="19"/>
        <item h="1" x="0"/>
        <item h="1" x="18"/>
        <item h="1" x="1"/>
        <item h="1" x="16"/>
        <item h="1" x="14"/>
        <item t="default"/>
      </items>
    </pivotField>
    <pivotField showAll="0">
      <items count="12">
        <item x="6"/>
        <item x="4"/>
        <item x="3"/>
        <item x="7"/>
        <item x="8"/>
        <item x="0"/>
        <item x="9"/>
        <item x="1"/>
        <item x="5"/>
        <item x="2"/>
        <item x="10"/>
        <item t="default"/>
      </items>
    </pivotField>
    <pivotField showAll="0">
      <items count="6">
        <item x="0"/>
        <item x="2"/>
        <item x="3"/>
        <item x="4"/>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Average of Error_Rate" fld="19"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23781A1-CD16-4088-B74A-800996DDD2C7}" name="PivotTable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22">
    <pivotField showAll="0"/>
    <pivotField showAll="0">
      <items count="4">
        <item h="1" x="1"/>
        <item h="1" x="0"/>
        <item x="2"/>
        <item t="default"/>
      </items>
    </pivotField>
    <pivotField showAll="0">
      <items count="25">
        <item x="19"/>
        <item x="9"/>
        <item x="6"/>
        <item x="7"/>
        <item x="11"/>
        <item x="20"/>
        <item x="0"/>
        <item x="23"/>
        <item x="1"/>
        <item x="2"/>
        <item x="18"/>
        <item x="10"/>
        <item x="4"/>
        <item x="13"/>
        <item x="12"/>
        <item x="8"/>
        <item x="21"/>
        <item x="16"/>
        <item x="15"/>
        <item x="22"/>
        <item x="3"/>
        <item x="14"/>
        <item x="5"/>
        <item x="17"/>
        <item t="default"/>
      </items>
    </pivotField>
    <pivotField showAll="0">
      <items count="18">
        <item x="13"/>
        <item x="3"/>
        <item x="9"/>
        <item x="1"/>
        <item x="0"/>
        <item x="7"/>
        <item x="5"/>
        <item x="11"/>
        <item x="2"/>
        <item x="4"/>
        <item x="15"/>
        <item x="16"/>
        <item x="10"/>
        <item x="14"/>
        <item x="6"/>
        <item x="12"/>
        <item x="8"/>
        <item t="default"/>
      </items>
    </pivotField>
    <pivotField showAll="0"/>
    <pivotField showAll="0">
      <items count="21">
        <item h="1" x="12"/>
        <item h="1" x="10"/>
        <item h="1" x="4"/>
        <item h="1" x="13"/>
        <item h="1" x="17"/>
        <item h="1" x="5"/>
        <item h="1" x="11"/>
        <item h="1" x="3"/>
        <item h="1" x="15"/>
        <item h="1" x="2"/>
        <item h="1" x="7"/>
        <item x="8"/>
        <item h="1" x="6"/>
        <item h="1" x="9"/>
        <item h="1" x="19"/>
        <item h="1" x="0"/>
        <item h="1" x="18"/>
        <item h="1" x="1"/>
        <item h="1" x="16"/>
        <item h="1" x="14"/>
        <item t="default"/>
      </items>
    </pivotField>
    <pivotField showAll="0">
      <items count="12">
        <item x="6"/>
        <item x="4"/>
        <item x="3"/>
        <item x="7"/>
        <item x="8"/>
        <item x="0"/>
        <item x="9"/>
        <item x="1"/>
        <item x="5"/>
        <item x="2"/>
        <item x="10"/>
        <item t="default"/>
      </items>
    </pivotField>
    <pivotField showAll="0">
      <items count="6">
        <item x="0"/>
        <item x="2"/>
        <item x="3"/>
        <item x="4"/>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Hours_Saved_Per_Week" fld="10"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5874957-1797-4026-B6B9-873724F573FA}" name="PivotTable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2">
    <pivotField dataField="1" showAll="0">
      <items count="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items count="4">
        <item h="1" x="1"/>
        <item h="1" x="0"/>
        <item x="2"/>
        <item t="default"/>
      </items>
    </pivotField>
    <pivotField showAll="0">
      <items count="25">
        <item x="19"/>
        <item x="9"/>
        <item x="6"/>
        <item x="7"/>
        <item x="11"/>
        <item x="20"/>
        <item x="0"/>
        <item x="23"/>
        <item x="1"/>
        <item x="2"/>
        <item x="18"/>
        <item x="10"/>
        <item x="4"/>
        <item x="13"/>
        <item x="12"/>
        <item x="8"/>
        <item x="21"/>
        <item x="16"/>
        <item x="15"/>
        <item x="22"/>
        <item x="3"/>
        <item x="14"/>
        <item x="5"/>
        <item x="17"/>
        <item t="default"/>
      </items>
    </pivotField>
    <pivotField showAll="0">
      <items count="18">
        <item x="13"/>
        <item x="3"/>
        <item x="9"/>
        <item x="1"/>
        <item x="0"/>
        <item x="7"/>
        <item x="5"/>
        <item x="11"/>
        <item x="2"/>
        <item x="4"/>
        <item x="15"/>
        <item x="16"/>
        <item x="10"/>
        <item x="14"/>
        <item x="6"/>
        <item x="12"/>
        <item x="8"/>
        <item t="default"/>
      </items>
    </pivotField>
    <pivotField showAll="0"/>
    <pivotField showAll="0">
      <items count="21">
        <item h="1" x="12"/>
        <item h="1" x="10"/>
        <item h="1" x="4"/>
        <item h="1" x="13"/>
        <item h="1" x="17"/>
        <item h="1" x="5"/>
        <item h="1" x="11"/>
        <item h="1" x="3"/>
        <item h="1" x="15"/>
        <item h="1" x="2"/>
        <item h="1" x="7"/>
        <item x="8"/>
        <item h="1" x="6"/>
        <item h="1" x="9"/>
        <item h="1" x="19"/>
        <item h="1" x="0"/>
        <item h="1" x="18"/>
        <item h="1" x="1"/>
        <item h="1" x="16"/>
        <item h="1" x="14"/>
        <item t="default"/>
      </items>
    </pivotField>
    <pivotField showAll="0">
      <items count="12">
        <item x="6"/>
        <item x="4"/>
        <item x="3"/>
        <item x="7"/>
        <item x="8"/>
        <item x="0"/>
        <item x="9"/>
        <item x="1"/>
        <item x="5"/>
        <item x="2"/>
        <item x="10"/>
        <item t="default"/>
      </items>
    </pivotField>
    <pivotField showAll="0">
      <items count="6">
        <item x="0"/>
        <item x="2"/>
        <item x="3"/>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Record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A83CC1A-544A-493D-A673-ED4A7D7C3C66}" sourceName="Country">
  <pivotTables>
    <pivotTable tabId="3" name="PivotTable8"/>
    <pivotTable tabId="3" name="PivotTable1"/>
    <pivotTable tabId="3" name="PivotTable10"/>
    <pivotTable tabId="3" name="PivotTable11"/>
    <pivotTable tabId="3" name="PivotTable12"/>
    <pivotTable tabId="3" name="PivotTable13"/>
    <pivotTable tabId="3" name="PivotTable14"/>
    <pivotTable tabId="3" name="PivotTable2"/>
    <pivotTable tabId="3" name="PivotTable3"/>
    <pivotTable tabId="3" name="PivotTable4"/>
    <pivotTable tabId="3" name="PivotTable5"/>
    <pivotTable tabId="3" name="PivotTable6"/>
    <pivotTable tabId="3" name="PivotTable7"/>
    <pivotTable tabId="3" name="PivotTable9"/>
  </pivotTables>
  <data>
    <tabular pivotCacheId="1357278571">
      <items count="24">
        <i x="9" s="1"/>
        <i x="7" s="1"/>
        <i x="11" s="1"/>
        <i x="0" s="1"/>
        <i x="1" s="1"/>
        <i x="2" s="1"/>
        <i x="18" s="1"/>
        <i x="10" s="1"/>
        <i x="13" s="1"/>
        <i x="8" s="1"/>
        <i x="16" s="1"/>
        <i x="5" s="1"/>
        <i x="19" s="1" nd="1"/>
        <i x="6" s="1" nd="1"/>
        <i x="20" s="1" nd="1"/>
        <i x="23" s="1" nd="1"/>
        <i x="4" s="1" nd="1"/>
        <i x="12" s="1" nd="1"/>
        <i x="21" s="1" nd="1"/>
        <i x="15" s="1" nd="1"/>
        <i x="22" s="1" nd="1"/>
        <i x="3" s="1" nd="1"/>
        <i x="14" s="1" nd="1"/>
        <i x="1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5E5C211-0F6A-4BF4-884B-B67B0FDE0B36}" sourceName="Year">
  <pivotTables>
    <pivotTable tabId="3" name="PivotTable8"/>
    <pivotTable tabId="3" name="PivotTable1"/>
    <pivotTable tabId="3" name="PivotTable10"/>
    <pivotTable tabId="3" name="PivotTable11"/>
    <pivotTable tabId="3" name="PivotTable12"/>
    <pivotTable tabId="3" name="PivotTable13"/>
    <pivotTable tabId="3" name="PivotTable14"/>
    <pivotTable tabId="3" name="PivotTable2"/>
    <pivotTable tabId="3" name="PivotTable3"/>
    <pivotTable tabId="3" name="PivotTable4"/>
    <pivotTable tabId="3" name="PivotTable5"/>
    <pivotTable tabId="3" name="PivotTable6"/>
    <pivotTable tabId="3" name="PivotTable7"/>
    <pivotTable tabId="3" name="PivotTable9"/>
  </pivotTables>
  <data>
    <tabular pivotCacheId="1357278571">
      <items count="3">
        <i x="1"/>
        <i x="0"/>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583084AC-3102-4244-BA50-95A81A1FF71D}" sourceName="Industry">
  <pivotTables>
    <pivotTable tabId="3" name="PivotTable8"/>
    <pivotTable tabId="3" name="PivotTable1"/>
    <pivotTable tabId="3" name="PivotTable10"/>
    <pivotTable tabId="3" name="PivotTable11"/>
    <pivotTable tabId="3" name="PivotTable12"/>
    <pivotTable tabId="3" name="PivotTable13"/>
    <pivotTable tabId="3" name="PivotTable14"/>
    <pivotTable tabId="3" name="PivotTable2"/>
    <pivotTable tabId="3" name="PivotTable3"/>
    <pivotTable tabId="3" name="PivotTable4"/>
    <pivotTable tabId="3" name="PivotTable5"/>
    <pivotTable tabId="3" name="PivotTable6"/>
    <pivotTable tabId="3" name="PivotTable7"/>
    <pivotTable tabId="3" name="PivotTable9"/>
  </pivotTables>
  <data>
    <tabular pivotCacheId="1357278571">
      <items count="17">
        <i x="3" s="1"/>
        <i x="9" s="1"/>
        <i x="1" s="1"/>
        <i x="7" s="1"/>
        <i x="2" s="1"/>
        <i x="6" s="1"/>
        <i x="8" s="1"/>
        <i x="13" s="1" nd="1"/>
        <i x="0" s="1" nd="1"/>
        <i x="5" s="1" nd="1"/>
        <i x="11" s="1" nd="1"/>
        <i x="4" s="1" nd="1"/>
        <i x="15" s="1" nd="1"/>
        <i x="16" s="1" nd="1"/>
        <i x="10" s="1" nd="1"/>
        <i x="14" s="1" nd="1"/>
        <i x="1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Agent_Usage" xr10:uid="{27B50389-C8F3-44FF-850E-DD9DEB0CC973}" sourceName="AI_Agent_Usage">
  <pivotTables>
    <pivotTable tabId="3" name="PivotTable8"/>
    <pivotTable tabId="3" name="PivotTable1"/>
    <pivotTable tabId="3" name="PivotTable10"/>
    <pivotTable tabId="3" name="PivotTable11"/>
    <pivotTable tabId="3" name="PivotTable12"/>
    <pivotTable tabId="3" name="PivotTable13"/>
    <pivotTable tabId="3" name="PivotTable14"/>
    <pivotTable tabId="3" name="PivotTable2"/>
    <pivotTable tabId="3" name="PivotTable3"/>
    <pivotTable tabId="3" name="PivotTable4"/>
    <pivotTable tabId="3" name="PivotTable5"/>
    <pivotTable tabId="3" name="PivotTable6"/>
    <pivotTable tabId="3" name="PivotTable7"/>
    <pivotTable tabId="3" name="PivotTable9"/>
  </pivotTables>
  <data>
    <tabular pivotCacheId="1357278571">
      <items count="5">
        <i x="0" s="1"/>
        <i x="2" s="1"/>
        <i x="3" s="1"/>
        <i x="1" s="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4DEF0D5A-0879-44A1-9CF0-0CFB944EE65A}" sourceName="Job_Role">
  <pivotTables>
    <pivotTable tabId="3" name="PivotTable8"/>
    <pivotTable tabId="3" name="PivotTable1"/>
    <pivotTable tabId="3" name="PivotTable10"/>
    <pivotTable tabId="3" name="PivotTable11"/>
    <pivotTable tabId="3" name="PivotTable12"/>
    <pivotTable tabId="3" name="PivotTable13"/>
    <pivotTable tabId="3" name="PivotTable14"/>
    <pivotTable tabId="3" name="PivotTable2"/>
    <pivotTable tabId="3" name="PivotTable3"/>
    <pivotTable tabId="3" name="PivotTable4"/>
    <pivotTable tabId="3" name="PivotTable5"/>
    <pivotTable tabId="3" name="PivotTable6"/>
    <pivotTable tabId="3" name="PivotTable7"/>
    <pivotTable tabId="3" name="PivotTable9"/>
  </pivotTables>
  <data>
    <tabular pivotCacheId="1357278571">
      <items count="20">
        <i x="12"/>
        <i x="10"/>
        <i x="4"/>
        <i x="13"/>
        <i x="17"/>
        <i x="5"/>
        <i x="11"/>
        <i x="3"/>
        <i x="2"/>
        <i x="7"/>
        <i x="8" s="1"/>
        <i x="6"/>
        <i x="9"/>
        <i x="0"/>
        <i x="18"/>
        <i x="1"/>
        <i x="16"/>
        <i x="14"/>
        <i x="15" nd="1"/>
        <i x="19"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0890F50-DAF4-4072-AD3B-A9C6B0D7E3CF}" cache="Slicer_Country" caption="Country" startItem="6" columnCount="3" style="SlicerStyleDark1" rowHeight="234950"/>
  <slicer name="Year" xr10:uid="{C82650B8-780B-4D7E-8C89-D6FBF6A657D4}" cache="Slicer_Year" caption="Year" style="SlicerStyleDark1" rowHeight="234950"/>
  <slicer name="Industry" xr10:uid="{39045989-BDA9-4A36-B851-962380F3E3F8}" cache="Slicer_Industry" caption="Industry" columnCount="5" style="SlicerStyleDark1" rowHeight="234950"/>
  <slicer name="AI_Agent_Usage" xr10:uid="{D7EB2DE6-E540-436C-8C1D-5AC827D936B0}" cache="Slicer_AI_Agent_Usage" caption="AI_Agent_Usage" columnCount="2" style="SlicerStyleDark1" rowHeight="234950"/>
  <slicer name="Job_Role" xr10:uid="{F9D2AFFD-2928-4161-B7C3-374C0DC1181E}" cache="Slicer_Job_Role" caption="Job_Role" columnCount="4"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731AEA-BEF7-4911-9136-DA3649484BDF}" name="AIData" displayName="AIData" ref="A1:V524" totalsRowShown="0">
  <autoFilter ref="A1:V524" xr:uid="{5D731AEA-BEF7-4911-9136-DA3649484BDF}">
    <filterColumn colId="19">
      <customFilters>
        <customFilter operator="notEqual" val=" "/>
      </customFilters>
    </filterColumn>
  </autoFilter>
  <tableColumns count="22">
    <tableColumn id="1" xr3:uid="{14D6D10E-2CB9-47A4-B4FF-5ADE79C51AB0}" name="Record_ID"/>
    <tableColumn id="2" xr3:uid="{30B6C299-CCB3-4A51-AE3A-BF945364D28F}" name="Year"/>
    <tableColumn id="3" xr3:uid="{E2BBC1D7-AF65-46E9-B045-5B8D2B59A8E4}" name="Country"/>
    <tableColumn id="4" xr3:uid="{F2775FE5-336D-4081-B2BC-4A5C5B1B19B9}" name="Industry"/>
    <tableColumn id="5" xr3:uid="{0CB8F41A-3990-4EE3-B37E-D129D6BB8A45}" name="Company_Size"/>
    <tableColumn id="6" xr3:uid="{FE6CB5EE-960B-4785-B24A-5F02F29281DD}" name="Job_Role"/>
    <tableColumn id="7" xr3:uid="{F803813E-89D2-4AFE-915C-286733A1C318}" name="Age_Group"/>
    <tableColumn id="8" xr3:uid="{A5CA5605-5682-49CF-8F71-8724B687CBDC}" name="AI_Agent_Usage"/>
    <tableColumn id="9" xr3:uid="{C171A8AB-2E52-4CE5-BBC0-82D1BEC4AC7D}" name="AI_Agent_Type"/>
    <tableColumn id="10" xr3:uid="{76ABE49F-C64A-460A-86C5-1B838680E55A}" name="Tasks_Automated"/>
    <tableColumn id="11" xr3:uid="{CC386CFE-6657-4B61-94D3-D56FB976B166}" name="Hours_Saved_Per_Week"/>
    <tableColumn id="12" xr3:uid="{A83B128E-52BB-429B-A24A-196574F96D36}" name="Productivity_Change_Percent"/>
    <tableColumn id="13" xr3:uid="{327D3A38-8C63-46AB-973B-A9DC39CBD7ED}" name="AI_Skill_Level"/>
    <tableColumn id="14" xr3:uid="{4088349B-E213-4CF7-8515-B9CEA6AFF804}" name="Training_Hours"/>
    <tableColumn id="15" xr3:uid="{3703BBAF-89B0-4FA9-8E4E-E0FF6E00B845}" name="Monthly_AI_Cost"/>
    <tableColumn id="16" xr3:uid="{828E0AA0-6DF5-4FD8-89DE-8B19DF2C3730}" name="Job_Satisfaction"/>
    <tableColumn id="17" xr3:uid="{5C49AD77-07A4-4CEE-850B-01C782F97AAE}" name="Workload_Level"/>
    <tableColumn id="18" xr3:uid="{2FBD9E3E-23FF-429B-8E04-D857D2681DB5}" name="Trust_in_AI"/>
    <tableColumn id="19" xr3:uid="{8F8A78D5-DE5B-4DD7-8229-05279BEC0028}" name="Human_AI_Collaboration"/>
    <tableColumn id="20" xr3:uid="{ADD5F100-3179-41C9-ACDF-DED26FE7C048}" name="Error_Rate"/>
    <tableColumn id="21" xr3:uid="{39B8ED69-F6F3-4B43-BBB3-C18067E2693C}" name="Job_Risk_Level"/>
    <tableColumn id="22" xr3:uid="{7EC31377-C3FD-4EF5-B566-CCEE7690FA02}" name="Overall_AI_Impac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905D5-3626-4E73-961E-BC0EEB2191EE}">
  <dimension ref="A3:O46"/>
  <sheetViews>
    <sheetView workbookViewId="0">
      <selection activeCell="E32" sqref="E32"/>
    </sheetView>
  </sheetViews>
  <sheetFormatPr defaultRowHeight="14.4" x14ac:dyDescent="0.3"/>
  <cols>
    <col min="1" max="1" width="36.21875" bestFit="1" customWidth="1"/>
    <col min="2" max="2" width="24.5546875" bestFit="1" customWidth="1"/>
    <col min="4" max="4" width="29.109375" bestFit="1" customWidth="1"/>
    <col min="5" max="5" width="36.21875" bestFit="1" customWidth="1"/>
    <col min="13" max="14" width="12.5546875" bestFit="1" customWidth="1"/>
    <col min="15" max="15" width="33" bestFit="1" customWidth="1"/>
  </cols>
  <sheetData>
    <row r="3" spans="1:14" x14ac:dyDescent="0.3">
      <c r="A3" t="s">
        <v>687</v>
      </c>
      <c r="B3">
        <f>GETPIVOTDATA("Record_ID",$A$3)</f>
        <v>18</v>
      </c>
      <c r="D3" s="2" t="s">
        <v>685</v>
      </c>
      <c r="E3" t="s">
        <v>687</v>
      </c>
      <c r="M3" s="2" t="s">
        <v>685</v>
      </c>
      <c r="N3" t="s">
        <v>687</v>
      </c>
    </row>
    <row r="4" spans="1:14" x14ac:dyDescent="0.3">
      <c r="A4" s="1">
        <v>18</v>
      </c>
      <c r="D4" s="3" t="s">
        <v>28</v>
      </c>
      <c r="E4" s="1">
        <v>7</v>
      </c>
      <c r="M4" s="3" t="s">
        <v>72</v>
      </c>
      <c r="N4" s="1">
        <v>5</v>
      </c>
    </row>
    <row r="5" spans="1:14" x14ac:dyDescent="0.3">
      <c r="A5" t="s">
        <v>688</v>
      </c>
      <c r="B5">
        <f>GETPIVOTDATA("Hours_Saved_Per_Week",$A$5)</f>
        <v>8.5722222222222246</v>
      </c>
      <c r="D5" s="3" t="s">
        <v>41</v>
      </c>
      <c r="E5" s="1">
        <v>3</v>
      </c>
      <c r="M5" s="3" t="s">
        <v>51</v>
      </c>
      <c r="N5" s="1">
        <v>5</v>
      </c>
    </row>
    <row r="6" spans="1:14" x14ac:dyDescent="0.3">
      <c r="A6" s="6">
        <v>8.5722222222222246</v>
      </c>
      <c r="D6" s="3" t="s">
        <v>31</v>
      </c>
      <c r="E6" s="1">
        <v>4</v>
      </c>
      <c r="M6" s="3" t="s">
        <v>32</v>
      </c>
      <c r="N6" s="1">
        <v>8</v>
      </c>
    </row>
    <row r="7" spans="1:14" x14ac:dyDescent="0.3">
      <c r="A7" t="s">
        <v>689</v>
      </c>
      <c r="B7" s="7">
        <f>GETPIVOTDATA("Error_Rate",$A$7)</f>
        <v>7.9294117647058826</v>
      </c>
      <c r="D7" s="3" t="s">
        <v>39</v>
      </c>
      <c r="E7" s="1">
        <v>4</v>
      </c>
      <c r="M7" s="3" t="s">
        <v>686</v>
      </c>
      <c r="N7" s="1">
        <v>18</v>
      </c>
    </row>
    <row r="8" spans="1:14" x14ac:dyDescent="0.3">
      <c r="A8" s="5">
        <v>7.9294117647058826</v>
      </c>
      <c r="D8" s="3" t="s">
        <v>686</v>
      </c>
      <c r="E8" s="1">
        <v>18</v>
      </c>
    </row>
    <row r="9" spans="1:14" x14ac:dyDescent="0.3">
      <c r="A9" t="s">
        <v>690</v>
      </c>
      <c r="B9" s="4">
        <f>GETPIVOTDATA("Job_Satisfaction",$A$9)</f>
        <v>6.2777777777777777</v>
      </c>
    </row>
    <row r="10" spans="1:14" x14ac:dyDescent="0.3">
      <c r="A10" s="4">
        <v>6.2777777777777777</v>
      </c>
    </row>
    <row r="11" spans="1:14" x14ac:dyDescent="0.3">
      <c r="A11" t="s">
        <v>691</v>
      </c>
      <c r="B11" s="10">
        <f>GETPIVOTDATA("Monthly_AI_Cost",$A$11)</f>
        <v>84.824999999999989</v>
      </c>
    </row>
    <row r="12" spans="1:14" x14ac:dyDescent="0.3">
      <c r="A12" s="8">
        <v>84.824999999999989</v>
      </c>
      <c r="B12" s="9"/>
    </row>
    <row r="13" spans="1:14" x14ac:dyDescent="0.3">
      <c r="A13" t="s">
        <v>692</v>
      </c>
      <c r="B13">
        <f>GETPIVOTDATA("Training_Hours",$A$13)</f>
        <v>569</v>
      </c>
    </row>
    <row r="14" spans="1:14" x14ac:dyDescent="0.3">
      <c r="A14" s="1">
        <v>569</v>
      </c>
      <c r="M14" s="2" t="s">
        <v>685</v>
      </c>
      <c r="N14" t="s">
        <v>688</v>
      </c>
    </row>
    <row r="15" spans="1:14" x14ac:dyDescent="0.3">
      <c r="A15" t="s">
        <v>694</v>
      </c>
      <c r="B15" s="4">
        <f>GETPIVOTDATA("Productivity_Change_Percent",$A$15)</f>
        <v>16.377777777777776</v>
      </c>
      <c r="D15" s="2" t="s">
        <v>685</v>
      </c>
      <c r="E15" t="s">
        <v>694</v>
      </c>
      <c r="M15" s="3">
        <v>2026</v>
      </c>
      <c r="N15" s="4">
        <v>8.5722222222222246</v>
      </c>
    </row>
    <row r="16" spans="1:14" x14ac:dyDescent="0.3">
      <c r="A16" s="4">
        <v>16.377777777777776</v>
      </c>
      <c r="D16" s="3" t="s">
        <v>59</v>
      </c>
      <c r="E16" s="4">
        <v>9.4499999999999993</v>
      </c>
      <c r="M16" s="3" t="s">
        <v>686</v>
      </c>
      <c r="N16" s="4">
        <v>8.5722222222222246</v>
      </c>
    </row>
    <row r="17" spans="1:15" x14ac:dyDescent="0.3">
      <c r="D17" s="3" t="s">
        <v>102</v>
      </c>
      <c r="E17" s="4">
        <v>16.466666666666669</v>
      </c>
    </row>
    <row r="18" spans="1:15" x14ac:dyDescent="0.3">
      <c r="D18" s="3" t="s">
        <v>35</v>
      </c>
      <c r="E18" s="4">
        <v>18.966666666666669</v>
      </c>
    </row>
    <row r="19" spans="1:15" x14ac:dyDescent="0.3">
      <c r="D19" s="3" t="s">
        <v>85</v>
      </c>
      <c r="E19" s="4">
        <v>15.049999999999999</v>
      </c>
    </row>
    <row r="20" spans="1:15" x14ac:dyDescent="0.3">
      <c r="A20" s="2" t="s">
        <v>685</v>
      </c>
      <c r="B20" t="s">
        <v>690</v>
      </c>
      <c r="D20" s="3" t="s">
        <v>43</v>
      </c>
      <c r="E20" s="4">
        <v>17.2</v>
      </c>
    </row>
    <row r="21" spans="1:15" x14ac:dyDescent="0.3">
      <c r="A21" s="3" t="s">
        <v>28</v>
      </c>
      <c r="B21" s="5">
        <v>5.8571428571428568</v>
      </c>
      <c r="D21" s="3" t="s">
        <v>81</v>
      </c>
      <c r="E21" s="4">
        <v>18.380000000000003</v>
      </c>
    </row>
    <row r="22" spans="1:15" x14ac:dyDescent="0.3">
      <c r="A22" s="3" t="s">
        <v>41</v>
      </c>
      <c r="B22" s="5">
        <v>6.333333333333333</v>
      </c>
      <c r="D22" s="3" t="s">
        <v>89</v>
      </c>
      <c r="E22" s="4">
        <v>15.200000000000001</v>
      </c>
    </row>
    <row r="23" spans="1:15" x14ac:dyDescent="0.3">
      <c r="A23" s="3" t="s">
        <v>31</v>
      </c>
      <c r="B23" s="5">
        <v>5.75</v>
      </c>
      <c r="D23" s="3" t="s">
        <v>686</v>
      </c>
      <c r="E23" s="4">
        <v>16.37777777777778</v>
      </c>
      <c r="N23" s="2" t="s">
        <v>685</v>
      </c>
      <c r="O23" t="s">
        <v>693</v>
      </c>
    </row>
    <row r="24" spans="1:15" x14ac:dyDescent="0.3">
      <c r="A24" s="3" t="s">
        <v>39</v>
      </c>
      <c r="B24" s="5">
        <v>7.5</v>
      </c>
      <c r="N24" s="3">
        <v>0</v>
      </c>
      <c r="O24" s="1">
        <v>2.7</v>
      </c>
    </row>
    <row r="25" spans="1:15" x14ac:dyDescent="0.3">
      <c r="A25" s="3" t="s">
        <v>686</v>
      </c>
      <c r="B25" s="5">
        <v>6.2777777777777777</v>
      </c>
      <c r="N25" s="3">
        <v>3</v>
      </c>
      <c r="O25" s="1">
        <v>9.8000000000000007</v>
      </c>
    </row>
    <row r="26" spans="1:15" x14ac:dyDescent="0.3">
      <c r="N26" s="3">
        <v>7</v>
      </c>
      <c r="O26" s="1">
        <v>10.5</v>
      </c>
    </row>
    <row r="27" spans="1:15" x14ac:dyDescent="0.3">
      <c r="N27" s="3">
        <v>17</v>
      </c>
      <c r="O27" s="1">
        <v>31</v>
      </c>
    </row>
    <row r="28" spans="1:15" x14ac:dyDescent="0.3">
      <c r="N28" s="3">
        <v>22</v>
      </c>
      <c r="O28" s="1">
        <v>10.199999999999999</v>
      </c>
    </row>
    <row r="29" spans="1:15" x14ac:dyDescent="0.3">
      <c r="N29" s="3">
        <v>31</v>
      </c>
      <c r="O29" s="1">
        <v>14.4</v>
      </c>
    </row>
    <row r="30" spans="1:15" x14ac:dyDescent="0.3">
      <c r="N30" s="3">
        <v>32</v>
      </c>
      <c r="O30" s="1">
        <v>7.1</v>
      </c>
    </row>
    <row r="31" spans="1:15" x14ac:dyDescent="0.3">
      <c r="N31" s="3">
        <v>33</v>
      </c>
      <c r="O31" s="1">
        <v>19.899999999999999</v>
      </c>
    </row>
    <row r="32" spans="1:15" x14ac:dyDescent="0.3">
      <c r="N32" s="3">
        <v>35</v>
      </c>
      <c r="O32" s="1">
        <v>20.6</v>
      </c>
    </row>
    <row r="33" spans="4:15" x14ac:dyDescent="0.3">
      <c r="N33" s="3">
        <v>37</v>
      </c>
      <c r="O33" s="1">
        <v>22.9</v>
      </c>
    </row>
    <row r="34" spans="4:15" x14ac:dyDescent="0.3">
      <c r="N34" s="3">
        <v>39</v>
      </c>
      <c r="O34" s="1">
        <v>18.899999999999999</v>
      </c>
    </row>
    <row r="35" spans="4:15" x14ac:dyDescent="0.3">
      <c r="N35" s="3">
        <v>42</v>
      </c>
      <c r="O35" s="1">
        <v>-0.1</v>
      </c>
    </row>
    <row r="36" spans="4:15" x14ac:dyDescent="0.3">
      <c r="N36" s="3">
        <v>45</v>
      </c>
      <c r="O36" s="1">
        <v>67.099999999999994</v>
      </c>
    </row>
    <row r="37" spans="4:15" x14ac:dyDescent="0.3">
      <c r="N37" s="3">
        <v>51</v>
      </c>
      <c r="O37" s="1">
        <v>17.2</v>
      </c>
    </row>
    <row r="38" spans="4:15" x14ac:dyDescent="0.3">
      <c r="N38" s="3">
        <v>71</v>
      </c>
      <c r="O38" s="1">
        <v>42.6</v>
      </c>
    </row>
    <row r="39" spans="4:15" x14ac:dyDescent="0.3">
      <c r="N39" s="3" t="s">
        <v>686</v>
      </c>
      <c r="O39" s="1">
        <v>294.8</v>
      </c>
    </row>
    <row r="40" spans="4:15" x14ac:dyDescent="0.3">
      <c r="D40" s="2" t="s">
        <v>687</v>
      </c>
      <c r="E40" s="2" t="s">
        <v>695</v>
      </c>
    </row>
    <row r="41" spans="4:15" x14ac:dyDescent="0.3">
      <c r="D41" s="2" t="s">
        <v>685</v>
      </c>
      <c r="E41" t="s">
        <v>28</v>
      </c>
      <c r="F41" t="s">
        <v>41</v>
      </c>
      <c r="G41" t="s">
        <v>31</v>
      </c>
      <c r="H41" t="s">
        <v>39</v>
      </c>
      <c r="I41" t="s">
        <v>686</v>
      </c>
    </row>
    <row r="42" spans="4:15" x14ac:dyDescent="0.3">
      <c r="D42" s="3" t="s">
        <v>28</v>
      </c>
      <c r="E42" s="1">
        <v>3</v>
      </c>
      <c r="F42" s="1">
        <v>1</v>
      </c>
      <c r="G42" s="1">
        <v>1</v>
      </c>
      <c r="H42" s="1"/>
      <c r="I42" s="1">
        <v>5</v>
      </c>
    </row>
    <row r="43" spans="4:15" x14ac:dyDescent="0.3">
      <c r="D43" s="3" t="s">
        <v>41</v>
      </c>
      <c r="E43" s="1">
        <v>3</v>
      </c>
      <c r="F43" s="1">
        <v>2</v>
      </c>
      <c r="G43" s="1">
        <v>1</v>
      </c>
      <c r="H43" s="1">
        <v>2</v>
      </c>
      <c r="I43" s="1">
        <v>8</v>
      </c>
    </row>
    <row r="44" spans="4:15" x14ac:dyDescent="0.3">
      <c r="D44" s="3" t="s">
        <v>31</v>
      </c>
      <c r="E44" s="1">
        <v>1</v>
      </c>
      <c r="F44" s="1"/>
      <c r="G44" s="1">
        <v>2</v>
      </c>
      <c r="H44" s="1">
        <v>1</v>
      </c>
      <c r="I44" s="1">
        <v>4</v>
      </c>
    </row>
    <row r="45" spans="4:15" x14ac:dyDescent="0.3">
      <c r="D45" s="3" t="s">
        <v>39</v>
      </c>
      <c r="E45" s="1"/>
      <c r="F45" s="1"/>
      <c r="G45" s="1"/>
      <c r="H45" s="1">
        <v>1</v>
      </c>
      <c r="I45" s="1">
        <v>1</v>
      </c>
    </row>
    <row r="46" spans="4:15" x14ac:dyDescent="0.3">
      <c r="D46" s="3" t="s">
        <v>686</v>
      </c>
      <c r="E46" s="1">
        <v>7</v>
      </c>
      <c r="F46" s="1">
        <v>3</v>
      </c>
      <c r="G46" s="1">
        <v>4</v>
      </c>
      <c r="H46" s="1">
        <v>4</v>
      </c>
      <c r="I46" s="1">
        <v>18</v>
      </c>
    </row>
  </sheetData>
  <pageMargins left="0.7" right="0.7" top="0.75" bottom="0.75" header="0.3" footer="0.3"/>
  <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B2176-B30A-4713-8A22-55C369E01A8B}">
  <dimension ref="A1"/>
  <sheetViews>
    <sheetView showGridLines="0" tabSelected="1" zoomScale="58" zoomScaleNormal="72" workbookViewId="0">
      <selection activeCell="R54" sqref="R5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F59E1-2462-434E-B539-E6B7F85FB5BC}">
  <dimension ref="A1:V524"/>
  <sheetViews>
    <sheetView workbookViewId="0">
      <selection activeCell="J17" sqref="J17"/>
    </sheetView>
  </sheetViews>
  <sheetFormatPr defaultRowHeight="14.4" x14ac:dyDescent="0.3"/>
  <cols>
    <col min="1" max="1" width="11.5546875" customWidth="1"/>
    <col min="3" max="3" width="9.6640625" customWidth="1"/>
    <col min="4" max="4" width="23.109375" customWidth="1"/>
    <col min="5" max="5" width="17.77734375" customWidth="1"/>
    <col min="6" max="6" width="17" customWidth="1"/>
    <col min="7" max="7" width="17.44140625" customWidth="1"/>
    <col min="8" max="8" width="16.77734375" customWidth="1"/>
    <col min="9" max="9" width="21.88671875" customWidth="1"/>
    <col min="10" max="10" width="16.21875" customWidth="1"/>
    <col min="11" max="11" width="17.21875" customWidth="1"/>
    <col min="12" max="12" width="21.44140625" customWidth="1"/>
    <col min="13" max="13" width="19.21875" customWidth="1"/>
    <col min="14" max="14" width="15.5546875" customWidth="1"/>
    <col min="15" max="15" width="17.5546875" customWidth="1"/>
    <col min="16" max="16" width="16.5546875" customWidth="1"/>
    <col min="17" max="17" width="16.44140625" customWidth="1"/>
    <col min="18" max="18" width="12.44140625" customWidth="1"/>
    <col min="19" max="19" width="24.109375" customWidth="1"/>
    <col min="20" max="20" width="11.77734375" customWidth="1"/>
    <col min="21" max="21" width="15.44140625" customWidth="1"/>
    <col min="22" max="22" width="18.44140625"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t="s">
        <v>22</v>
      </c>
      <c r="B2">
        <v>2025</v>
      </c>
      <c r="C2" t="s">
        <v>23</v>
      </c>
      <c r="D2" t="s">
        <v>24</v>
      </c>
      <c r="E2" t="s">
        <v>25</v>
      </c>
      <c r="F2" t="s">
        <v>26</v>
      </c>
      <c r="G2" t="s">
        <v>27</v>
      </c>
      <c r="H2" t="s">
        <v>28</v>
      </c>
      <c r="I2" t="s">
        <v>29</v>
      </c>
      <c r="J2">
        <v>43</v>
      </c>
      <c r="K2">
        <v>8.4</v>
      </c>
      <c r="L2">
        <v>91.6</v>
      </c>
      <c r="M2" t="s">
        <v>30</v>
      </c>
      <c r="N2">
        <v>15</v>
      </c>
      <c r="O2">
        <v>44.39</v>
      </c>
      <c r="P2">
        <v>7</v>
      </c>
      <c r="Q2" t="s">
        <v>31</v>
      </c>
      <c r="R2">
        <v>6</v>
      </c>
      <c r="S2" t="s">
        <v>28</v>
      </c>
      <c r="T2">
        <v>7</v>
      </c>
      <c r="U2" t="s">
        <v>31</v>
      </c>
      <c r="V2" t="s">
        <v>32</v>
      </c>
    </row>
    <row r="3" spans="1:22" x14ac:dyDescent="0.3">
      <c r="A3" t="s">
        <v>33</v>
      </c>
      <c r="B3">
        <v>2025</v>
      </c>
      <c r="C3" t="s">
        <v>34</v>
      </c>
      <c r="D3" t="s">
        <v>35</v>
      </c>
      <c r="E3" t="s">
        <v>36</v>
      </c>
      <c r="F3" t="s">
        <v>37</v>
      </c>
      <c r="G3" t="s">
        <v>38</v>
      </c>
      <c r="H3" t="s">
        <v>39</v>
      </c>
      <c r="I3" t="s">
        <v>40</v>
      </c>
      <c r="J3">
        <v>31</v>
      </c>
      <c r="K3">
        <v>9</v>
      </c>
      <c r="L3">
        <v>8.1</v>
      </c>
      <c r="M3" t="s">
        <v>30</v>
      </c>
      <c r="N3">
        <v>2</v>
      </c>
      <c r="O3">
        <v>161.80000000000001</v>
      </c>
      <c r="P3">
        <v>8</v>
      </c>
      <c r="Q3" t="s">
        <v>41</v>
      </c>
      <c r="R3">
        <v>7</v>
      </c>
      <c r="S3" t="s">
        <v>28</v>
      </c>
      <c r="T3">
        <v>5.4</v>
      </c>
      <c r="U3" t="s">
        <v>39</v>
      </c>
      <c r="V3" t="s">
        <v>32</v>
      </c>
    </row>
    <row r="4" spans="1:22" x14ac:dyDescent="0.3">
      <c r="A4" t="s">
        <v>42</v>
      </c>
      <c r="B4">
        <v>2025</v>
      </c>
      <c r="C4" t="s">
        <v>34</v>
      </c>
      <c r="D4" t="s">
        <v>43</v>
      </c>
      <c r="E4" t="s">
        <v>25</v>
      </c>
      <c r="F4" t="s">
        <v>44</v>
      </c>
      <c r="G4" t="s">
        <v>45</v>
      </c>
      <c r="H4" t="s">
        <v>41</v>
      </c>
      <c r="I4" t="s">
        <v>46</v>
      </c>
      <c r="J4">
        <v>6</v>
      </c>
      <c r="K4">
        <v>0.6</v>
      </c>
      <c r="L4">
        <v>-11.2</v>
      </c>
      <c r="M4" t="s">
        <v>47</v>
      </c>
      <c r="N4">
        <v>25</v>
      </c>
      <c r="O4">
        <v>41.8</v>
      </c>
      <c r="P4">
        <v>10</v>
      </c>
      <c r="Q4" t="s">
        <v>31</v>
      </c>
      <c r="R4">
        <v>6</v>
      </c>
      <c r="S4" t="s">
        <v>31</v>
      </c>
      <c r="T4">
        <v>6.7</v>
      </c>
      <c r="U4" t="s">
        <v>41</v>
      </c>
      <c r="V4" t="s">
        <v>32</v>
      </c>
    </row>
    <row r="5" spans="1:22" x14ac:dyDescent="0.3">
      <c r="A5" t="s">
        <v>48</v>
      </c>
      <c r="B5">
        <v>2025</v>
      </c>
      <c r="C5" t="s">
        <v>23</v>
      </c>
      <c r="D5" t="s">
        <v>43</v>
      </c>
      <c r="E5" t="s">
        <v>25</v>
      </c>
      <c r="F5" t="s">
        <v>44</v>
      </c>
      <c r="G5" t="s">
        <v>27</v>
      </c>
      <c r="H5" t="s">
        <v>28</v>
      </c>
      <c r="I5" t="s">
        <v>49</v>
      </c>
      <c r="J5">
        <v>16</v>
      </c>
      <c r="K5">
        <v>0</v>
      </c>
      <c r="L5">
        <v>5.9</v>
      </c>
      <c r="M5" t="s">
        <v>50</v>
      </c>
      <c r="N5">
        <v>59</v>
      </c>
      <c r="O5">
        <v>42.4</v>
      </c>
      <c r="P5">
        <v>5</v>
      </c>
      <c r="Q5" t="s">
        <v>28</v>
      </c>
      <c r="R5">
        <v>6</v>
      </c>
      <c r="S5" t="s">
        <v>28</v>
      </c>
      <c r="T5">
        <v>8.1999999999999993</v>
      </c>
      <c r="U5" t="s">
        <v>31</v>
      </c>
      <c r="V5" t="s">
        <v>51</v>
      </c>
    </row>
    <row r="6" spans="1:22" x14ac:dyDescent="0.3">
      <c r="A6" t="s">
        <v>52</v>
      </c>
      <c r="B6">
        <v>2024</v>
      </c>
      <c r="C6" t="s">
        <v>53</v>
      </c>
      <c r="D6" t="s">
        <v>24</v>
      </c>
      <c r="E6" t="s">
        <v>25</v>
      </c>
      <c r="F6" t="s">
        <v>54</v>
      </c>
      <c r="G6" t="s">
        <v>55</v>
      </c>
      <c r="H6" t="s">
        <v>28</v>
      </c>
      <c r="I6" t="s">
        <v>56</v>
      </c>
      <c r="J6">
        <v>23</v>
      </c>
      <c r="K6">
        <v>6.5</v>
      </c>
      <c r="L6">
        <v>-8.4</v>
      </c>
      <c r="M6" t="s">
        <v>30</v>
      </c>
      <c r="N6">
        <v>0</v>
      </c>
      <c r="O6">
        <v>27.01</v>
      </c>
      <c r="P6">
        <v>0</v>
      </c>
      <c r="Q6" t="s">
        <v>31</v>
      </c>
      <c r="R6">
        <v>5</v>
      </c>
      <c r="S6" t="s">
        <v>31</v>
      </c>
      <c r="T6">
        <v>9.6</v>
      </c>
      <c r="U6" t="s">
        <v>31</v>
      </c>
      <c r="V6" t="s">
        <v>51</v>
      </c>
    </row>
    <row r="7" spans="1:22" x14ac:dyDescent="0.3">
      <c r="A7" t="s">
        <v>57</v>
      </c>
      <c r="B7">
        <v>2025</v>
      </c>
      <c r="C7" t="s">
        <v>58</v>
      </c>
      <c r="D7" t="s">
        <v>59</v>
      </c>
      <c r="E7" t="s">
        <v>25</v>
      </c>
      <c r="F7" t="s">
        <v>60</v>
      </c>
      <c r="G7" t="s">
        <v>55</v>
      </c>
      <c r="H7" t="s">
        <v>31</v>
      </c>
      <c r="I7" t="s">
        <v>61</v>
      </c>
      <c r="J7">
        <v>15</v>
      </c>
      <c r="K7">
        <v>1.9</v>
      </c>
      <c r="L7">
        <v>1.6</v>
      </c>
      <c r="M7" t="s">
        <v>30</v>
      </c>
      <c r="N7">
        <v>25</v>
      </c>
      <c r="O7">
        <v>45.59</v>
      </c>
      <c r="P7">
        <v>8</v>
      </c>
      <c r="Q7" t="s">
        <v>28</v>
      </c>
      <c r="R7">
        <v>6</v>
      </c>
      <c r="S7" t="s">
        <v>28</v>
      </c>
      <c r="T7">
        <v>6.5</v>
      </c>
      <c r="U7" t="s">
        <v>39</v>
      </c>
      <c r="V7" t="s">
        <v>51</v>
      </c>
    </row>
    <row r="8" spans="1:22" x14ac:dyDescent="0.3">
      <c r="A8" t="s">
        <v>62</v>
      </c>
      <c r="B8">
        <v>2026</v>
      </c>
      <c r="C8" t="s">
        <v>53</v>
      </c>
      <c r="D8" t="s">
        <v>63</v>
      </c>
      <c r="E8" t="s">
        <v>25</v>
      </c>
      <c r="F8" t="s">
        <v>64</v>
      </c>
      <c r="G8" t="s">
        <v>55</v>
      </c>
      <c r="H8" t="s">
        <v>31</v>
      </c>
      <c r="I8" t="s">
        <v>65</v>
      </c>
      <c r="J8">
        <v>14</v>
      </c>
      <c r="K8">
        <v>1.1000000000000001</v>
      </c>
      <c r="L8">
        <v>9.6</v>
      </c>
      <c r="M8" t="s">
        <v>47</v>
      </c>
      <c r="N8">
        <v>29</v>
      </c>
      <c r="O8">
        <v>56.42</v>
      </c>
      <c r="P8">
        <v>7</v>
      </c>
      <c r="Q8" t="s">
        <v>31</v>
      </c>
      <c r="R8">
        <v>5</v>
      </c>
      <c r="S8" t="s">
        <v>41</v>
      </c>
      <c r="T8">
        <v>8.9</v>
      </c>
      <c r="U8" t="s">
        <v>28</v>
      </c>
      <c r="V8" t="s">
        <v>66</v>
      </c>
    </row>
    <row r="9" spans="1:22" x14ac:dyDescent="0.3">
      <c r="A9" t="s">
        <v>67</v>
      </c>
      <c r="B9">
        <v>2026</v>
      </c>
      <c r="C9" t="s">
        <v>68</v>
      </c>
      <c r="D9" t="s">
        <v>69</v>
      </c>
      <c r="E9" t="s">
        <v>36</v>
      </c>
      <c r="F9" t="s">
        <v>70</v>
      </c>
      <c r="G9" t="s">
        <v>55</v>
      </c>
      <c r="H9" t="s">
        <v>39</v>
      </c>
      <c r="I9" t="s">
        <v>71</v>
      </c>
      <c r="J9">
        <v>70</v>
      </c>
      <c r="K9">
        <v>17.2</v>
      </c>
      <c r="L9">
        <v>28.8</v>
      </c>
      <c r="M9" t="s">
        <v>50</v>
      </c>
      <c r="N9">
        <v>7</v>
      </c>
      <c r="O9">
        <v>146.96</v>
      </c>
      <c r="P9">
        <v>9</v>
      </c>
      <c r="Q9" t="s">
        <v>31</v>
      </c>
      <c r="R9">
        <v>7</v>
      </c>
      <c r="S9" t="s">
        <v>28</v>
      </c>
      <c r="T9">
        <v>8.6</v>
      </c>
      <c r="U9" t="s">
        <v>39</v>
      </c>
      <c r="V9" t="s">
        <v>72</v>
      </c>
    </row>
    <row r="10" spans="1:22" x14ac:dyDescent="0.3">
      <c r="A10" t="s">
        <v>73</v>
      </c>
      <c r="B10">
        <v>2026</v>
      </c>
      <c r="C10" t="s">
        <v>74</v>
      </c>
      <c r="D10" t="s">
        <v>24</v>
      </c>
      <c r="E10" t="s">
        <v>36</v>
      </c>
      <c r="F10" t="s">
        <v>75</v>
      </c>
      <c r="G10" t="s">
        <v>76</v>
      </c>
      <c r="H10" t="s">
        <v>28</v>
      </c>
      <c r="I10" t="s">
        <v>46</v>
      </c>
      <c r="J10">
        <v>111</v>
      </c>
      <c r="K10">
        <v>4.2</v>
      </c>
      <c r="L10">
        <v>19.399999999999999</v>
      </c>
      <c r="M10" t="s">
        <v>50</v>
      </c>
      <c r="N10">
        <v>5</v>
      </c>
      <c r="O10">
        <v>106.39</v>
      </c>
      <c r="P10">
        <v>7</v>
      </c>
      <c r="Q10" t="s">
        <v>28</v>
      </c>
      <c r="R10">
        <v>7</v>
      </c>
      <c r="S10" t="s">
        <v>28</v>
      </c>
      <c r="T10">
        <v>9.1999999999999993</v>
      </c>
      <c r="U10" t="s">
        <v>31</v>
      </c>
      <c r="V10" t="s">
        <v>32</v>
      </c>
    </row>
    <row r="11" spans="1:22" x14ac:dyDescent="0.3">
      <c r="A11" t="s">
        <v>77</v>
      </c>
      <c r="B11">
        <v>2025</v>
      </c>
      <c r="C11" t="s">
        <v>78</v>
      </c>
      <c r="D11" t="s">
        <v>69</v>
      </c>
      <c r="E11" t="s">
        <v>36</v>
      </c>
      <c r="F11" t="s">
        <v>37</v>
      </c>
      <c r="G11" t="s">
        <v>27</v>
      </c>
      <c r="H11" t="s">
        <v>28</v>
      </c>
      <c r="I11" t="s">
        <v>40</v>
      </c>
      <c r="J11">
        <v>16</v>
      </c>
      <c r="K11">
        <v>2.5</v>
      </c>
      <c r="L11">
        <v>11.3</v>
      </c>
      <c r="M11" t="s">
        <v>50</v>
      </c>
      <c r="N11">
        <v>0</v>
      </c>
      <c r="O11">
        <v>94.77</v>
      </c>
      <c r="P11">
        <v>6</v>
      </c>
      <c r="Q11" t="s">
        <v>28</v>
      </c>
      <c r="R11">
        <v>5</v>
      </c>
      <c r="S11" t="s">
        <v>31</v>
      </c>
      <c r="T11">
        <v>11.3</v>
      </c>
      <c r="U11" t="s">
        <v>39</v>
      </c>
      <c r="V11" t="s">
        <v>51</v>
      </c>
    </row>
    <row r="12" spans="1:22" x14ac:dyDescent="0.3">
      <c r="A12" t="s">
        <v>79</v>
      </c>
      <c r="B12">
        <v>2024</v>
      </c>
      <c r="C12" t="s">
        <v>80</v>
      </c>
      <c r="D12" t="s">
        <v>81</v>
      </c>
      <c r="E12" t="s">
        <v>82</v>
      </c>
      <c r="F12" t="s">
        <v>37</v>
      </c>
      <c r="G12" t="s">
        <v>55</v>
      </c>
      <c r="H12" t="s">
        <v>28</v>
      </c>
      <c r="I12" t="s">
        <v>40</v>
      </c>
      <c r="J12">
        <v>16</v>
      </c>
      <c r="K12">
        <v>3.5</v>
      </c>
      <c r="L12">
        <v>8.3000000000000007</v>
      </c>
      <c r="M12" t="s">
        <v>47</v>
      </c>
      <c r="N12">
        <v>41</v>
      </c>
      <c r="O12">
        <v>174.04</v>
      </c>
      <c r="P12">
        <v>6</v>
      </c>
      <c r="Q12" t="s">
        <v>28</v>
      </c>
      <c r="R12">
        <v>4</v>
      </c>
      <c r="S12" t="s">
        <v>41</v>
      </c>
      <c r="T12">
        <v>11.5</v>
      </c>
      <c r="U12" t="s">
        <v>41</v>
      </c>
      <c r="V12" t="s">
        <v>32</v>
      </c>
    </row>
    <row r="13" spans="1:22" x14ac:dyDescent="0.3">
      <c r="A13" t="s">
        <v>83</v>
      </c>
      <c r="B13">
        <v>2026</v>
      </c>
      <c r="C13" t="s">
        <v>84</v>
      </c>
      <c r="D13" t="s">
        <v>85</v>
      </c>
      <c r="E13" t="s">
        <v>86</v>
      </c>
      <c r="F13" t="s">
        <v>87</v>
      </c>
      <c r="G13" t="s">
        <v>27</v>
      </c>
      <c r="H13" t="s">
        <v>41</v>
      </c>
      <c r="I13" t="s">
        <v>71</v>
      </c>
      <c r="J13">
        <v>5</v>
      </c>
      <c r="K13">
        <v>1</v>
      </c>
      <c r="L13">
        <v>19.899999999999999</v>
      </c>
      <c r="M13" t="s">
        <v>47</v>
      </c>
      <c r="N13">
        <v>33</v>
      </c>
      <c r="O13">
        <v>29.89</v>
      </c>
      <c r="P13">
        <v>7</v>
      </c>
      <c r="Q13" t="s">
        <v>28</v>
      </c>
      <c r="R13">
        <v>6</v>
      </c>
      <c r="S13" t="s">
        <v>31</v>
      </c>
      <c r="T13">
        <v>5.8</v>
      </c>
      <c r="U13" t="s">
        <v>28</v>
      </c>
      <c r="V13" t="s">
        <v>51</v>
      </c>
    </row>
    <row r="14" spans="1:22" x14ac:dyDescent="0.3">
      <c r="A14" t="s">
        <v>88</v>
      </c>
      <c r="B14">
        <v>2026</v>
      </c>
      <c r="C14" t="s">
        <v>74</v>
      </c>
      <c r="D14" t="s">
        <v>89</v>
      </c>
      <c r="E14" t="s">
        <v>86</v>
      </c>
      <c r="F14" t="s">
        <v>54</v>
      </c>
      <c r="G14" t="s">
        <v>55</v>
      </c>
      <c r="H14" t="s">
        <v>39</v>
      </c>
      <c r="I14" t="s">
        <v>90</v>
      </c>
      <c r="J14">
        <v>150</v>
      </c>
      <c r="K14">
        <v>26</v>
      </c>
      <c r="L14">
        <v>31</v>
      </c>
      <c r="M14" t="s">
        <v>50</v>
      </c>
      <c r="N14">
        <v>14</v>
      </c>
      <c r="O14">
        <v>118.18</v>
      </c>
      <c r="P14">
        <v>9</v>
      </c>
      <c r="Q14" t="s">
        <v>41</v>
      </c>
      <c r="R14">
        <v>7</v>
      </c>
      <c r="S14" t="s">
        <v>91</v>
      </c>
      <c r="T14">
        <v>4.4000000000000004</v>
      </c>
      <c r="U14" t="s">
        <v>41</v>
      </c>
      <c r="V14" t="s">
        <v>92</v>
      </c>
    </row>
    <row r="15" spans="1:22" x14ac:dyDescent="0.3">
      <c r="A15" t="s">
        <v>93</v>
      </c>
      <c r="B15">
        <v>2024</v>
      </c>
      <c r="C15" t="s">
        <v>94</v>
      </c>
      <c r="D15" t="s">
        <v>81</v>
      </c>
      <c r="E15" t="s">
        <v>36</v>
      </c>
      <c r="F15" t="s">
        <v>37</v>
      </c>
      <c r="G15" t="s">
        <v>95</v>
      </c>
      <c r="H15" t="s">
        <v>96</v>
      </c>
      <c r="I15" t="s">
        <v>40</v>
      </c>
      <c r="J15">
        <v>2</v>
      </c>
      <c r="K15">
        <v>1</v>
      </c>
      <c r="L15">
        <v>6</v>
      </c>
      <c r="M15" t="s">
        <v>47</v>
      </c>
      <c r="N15">
        <v>3</v>
      </c>
      <c r="O15">
        <v>31.61</v>
      </c>
      <c r="P15">
        <v>7</v>
      </c>
      <c r="Q15" t="s">
        <v>31</v>
      </c>
      <c r="R15">
        <v>4</v>
      </c>
      <c r="S15" t="s">
        <v>31</v>
      </c>
      <c r="T15">
        <v>11.9</v>
      </c>
      <c r="U15" t="s">
        <v>41</v>
      </c>
      <c r="V15" t="s">
        <v>32</v>
      </c>
    </row>
    <row r="16" spans="1:22" x14ac:dyDescent="0.3">
      <c r="A16" t="s">
        <v>97</v>
      </c>
      <c r="B16">
        <v>2026</v>
      </c>
      <c r="C16" t="s">
        <v>74</v>
      </c>
      <c r="D16" t="s">
        <v>43</v>
      </c>
      <c r="E16" t="s">
        <v>82</v>
      </c>
      <c r="F16" t="s">
        <v>98</v>
      </c>
      <c r="G16" t="s">
        <v>38</v>
      </c>
      <c r="H16" t="s">
        <v>28</v>
      </c>
      <c r="I16" t="s">
        <v>90</v>
      </c>
      <c r="J16">
        <v>109</v>
      </c>
      <c r="K16">
        <v>14.9</v>
      </c>
      <c r="L16">
        <v>26</v>
      </c>
      <c r="M16" t="s">
        <v>50</v>
      </c>
      <c r="N16">
        <v>13</v>
      </c>
      <c r="O16">
        <v>103.16</v>
      </c>
      <c r="P16">
        <v>8</v>
      </c>
      <c r="Q16" t="s">
        <v>31</v>
      </c>
      <c r="R16">
        <v>7</v>
      </c>
      <c r="S16" t="s">
        <v>28</v>
      </c>
      <c r="T16">
        <v>5.3</v>
      </c>
      <c r="U16" t="s">
        <v>41</v>
      </c>
      <c r="V16" t="s">
        <v>72</v>
      </c>
    </row>
    <row r="17" spans="1:22" x14ac:dyDescent="0.3">
      <c r="A17" t="s">
        <v>99</v>
      </c>
      <c r="B17">
        <v>2024</v>
      </c>
      <c r="C17" t="s">
        <v>23</v>
      </c>
      <c r="D17" t="s">
        <v>81</v>
      </c>
      <c r="E17" t="s">
        <v>36</v>
      </c>
      <c r="F17" t="s">
        <v>37</v>
      </c>
      <c r="G17">
        <v>0</v>
      </c>
      <c r="H17" t="s">
        <v>41</v>
      </c>
      <c r="I17" t="s">
        <v>40</v>
      </c>
      <c r="J17">
        <v>7</v>
      </c>
      <c r="K17">
        <v>1.8</v>
      </c>
      <c r="L17">
        <v>-1.2</v>
      </c>
      <c r="M17" t="s">
        <v>47</v>
      </c>
      <c r="N17">
        <v>5</v>
      </c>
      <c r="O17">
        <v>26.16</v>
      </c>
      <c r="P17">
        <v>5</v>
      </c>
      <c r="Q17" t="s">
        <v>31</v>
      </c>
      <c r="R17">
        <v>3</v>
      </c>
      <c r="S17" t="s">
        <v>41</v>
      </c>
      <c r="T17">
        <v>10.1</v>
      </c>
      <c r="U17" t="s">
        <v>41</v>
      </c>
      <c r="V17" t="s">
        <v>51</v>
      </c>
    </row>
    <row r="18" spans="1:22" x14ac:dyDescent="0.3">
      <c r="A18" t="s">
        <v>100</v>
      </c>
      <c r="B18">
        <v>2024</v>
      </c>
      <c r="C18" t="s">
        <v>101</v>
      </c>
      <c r="D18" t="s">
        <v>102</v>
      </c>
      <c r="E18" t="s">
        <v>82</v>
      </c>
      <c r="F18" t="s">
        <v>37</v>
      </c>
      <c r="G18" t="s">
        <v>38</v>
      </c>
      <c r="H18" t="s">
        <v>41</v>
      </c>
      <c r="I18" t="s">
        <v>40</v>
      </c>
      <c r="J18">
        <v>3</v>
      </c>
      <c r="K18">
        <v>0.6</v>
      </c>
      <c r="L18">
        <v>-3.4</v>
      </c>
      <c r="M18" t="s">
        <v>30</v>
      </c>
      <c r="N18">
        <v>5</v>
      </c>
      <c r="O18">
        <v>21.89</v>
      </c>
      <c r="P18">
        <v>5</v>
      </c>
      <c r="Q18" t="s">
        <v>28</v>
      </c>
      <c r="R18">
        <v>7</v>
      </c>
      <c r="S18" t="s">
        <v>31</v>
      </c>
      <c r="T18">
        <v>7.2</v>
      </c>
      <c r="U18" t="s">
        <v>31</v>
      </c>
      <c r="V18" t="s">
        <v>51</v>
      </c>
    </row>
    <row r="19" spans="1:22" x14ac:dyDescent="0.3">
      <c r="A19" t="s">
        <v>103</v>
      </c>
      <c r="B19">
        <v>2025</v>
      </c>
      <c r="C19" t="s">
        <v>104</v>
      </c>
      <c r="D19" t="s">
        <v>59</v>
      </c>
      <c r="E19" t="s">
        <v>36</v>
      </c>
      <c r="F19" t="s">
        <v>105</v>
      </c>
      <c r="G19" t="s">
        <v>27</v>
      </c>
      <c r="H19" t="s">
        <v>28</v>
      </c>
      <c r="I19" t="s">
        <v>49</v>
      </c>
      <c r="J19">
        <v>30</v>
      </c>
      <c r="K19">
        <v>5.5</v>
      </c>
      <c r="L19">
        <v>6.4</v>
      </c>
      <c r="M19" t="s">
        <v>30</v>
      </c>
      <c r="N19">
        <v>9</v>
      </c>
      <c r="O19">
        <v>46.11</v>
      </c>
      <c r="P19">
        <v>6</v>
      </c>
      <c r="Q19" t="s">
        <v>28</v>
      </c>
      <c r="R19">
        <v>6</v>
      </c>
      <c r="S19" t="s">
        <v>28</v>
      </c>
      <c r="T19">
        <v>7.6</v>
      </c>
      <c r="U19" t="s">
        <v>39</v>
      </c>
      <c r="V19" t="s">
        <v>51</v>
      </c>
    </row>
    <row r="20" spans="1:22" x14ac:dyDescent="0.3">
      <c r="A20" t="s">
        <v>106</v>
      </c>
      <c r="B20">
        <v>2024</v>
      </c>
      <c r="C20" t="s">
        <v>34</v>
      </c>
      <c r="D20" t="s">
        <v>59</v>
      </c>
      <c r="E20" t="s">
        <v>36</v>
      </c>
      <c r="F20" t="s">
        <v>26</v>
      </c>
      <c r="G20" t="s">
        <v>38</v>
      </c>
      <c r="H20" t="s">
        <v>41</v>
      </c>
      <c r="I20" t="s">
        <v>49</v>
      </c>
      <c r="J20">
        <v>4</v>
      </c>
      <c r="K20">
        <v>0.7</v>
      </c>
      <c r="L20">
        <v>-4.2</v>
      </c>
      <c r="M20" t="s">
        <v>47</v>
      </c>
      <c r="N20">
        <v>6</v>
      </c>
      <c r="O20">
        <v>11.95</v>
      </c>
      <c r="P20">
        <v>5</v>
      </c>
      <c r="Q20" t="s">
        <v>41</v>
      </c>
      <c r="R20">
        <v>4</v>
      </c>
      <c r="S20" t="s">
        <v>31</v>
      </c>
      <c r="T20">
        <v>8.6999999999999993</v>
      </c>
      <c r="U20" t="s">
        <v>41</v>
      </c>
      <c r="V20" t="s">
        <v>51</v>
      </c>
    </row>
    <row r="21" spans="1:22" x14ac:dyDescent="0.3">
      <c r="A21" t="s">
        <v>107</v>
      </c>
      <c r="B21">
        <v>2024</v>
      </c>
      <c r="C21" t="s">
        <v>108</v>
      </c>
      <c r="D21" t="s">
        <v>35</v>
      </c>
      <c r="E21" t="s">
        <v>25</v>
      </c>
      <c r="F21" t="s">
        <v>60</v>
      </c>
      <c r="G21" t="s">
        <v>55</v>
      </c>
      <c r="H21" t="s">
        <v>41</v>
      </c>
      <c r="I21" t="s">
        <v>61</v>
      </c>
      <c r="J21">
        <v>5</v>
      </c>
      <c r="K21">
        <v>1</v>
      </c>
      <c r="L21">
        <v>-19.399999999999999</v>
      </c>
      <c r="M21" t="s">
        <v>47</v>
      </c>
      <c r="N21">
        <v>0</v>
      </c>
      <c r="O21">
        <v>20.71</v>
      </c>
      <c r="P21">
        <v>7</v>
      </c>
      <c r="Q21" t="s">
        <v>31</v>
      </c>
      <c r="R21">
        <v>5</v>
      </c>
      <c r="S21" t="s">
        <v>41</v>
      </c>
      <c r="T21">
        <v>7.5</v>
      </c>
      <c r="U21" t="s">
        <v>31</v>
      </c>
      <c r="V21" t="s">
        <v>109</v>
      </c>
    </row>
    <row r="22" spans="1:22" x14ac:dyDescent="0.3">
      <c r="A22" t="s">
        <v>110</v>
      </c>
      <c r="B22">
        <v>2026</v>
      </c>
      <c r="C22" t="s">
        <v>74</v>
      </c>
      <c r="D22" t="s">
        <v>81</v>
      </c>
      <c r="E22" t="s">
        <v>111</v>
      </c>
      <c r="F22" t="s">
        <v>98</v>
      </c>
      <c r="G22" t="s">
        <v>55</v>
      </c>
      <c r="H22" t="s">
        <v>39</v>
      </c>
      <c r="I22" t="s">
        <v>65</v>
      </c>
      <c r="J22">
        <v>143</v>
      </c>
      <c r="K22">
        <v>26</v>
      </c>
      <c r="L22">
        <v>64.900000000000006</v>
      </c>
      <c r="M22" t="s">
        <v>50</v>
      </c>
      <c r="N22">
        <v>36</v>
      </c>
      <c r="O22">
        <v>156.65</v>
      </c>
      <c r="P22">
        <v>10</v>
      </c>
      <c r="Q22" t="s">
        <v>31</v>
      </c>
      <c r="R22">
        <v>9</v>
      </c>
      <c r="S22" t="s">
        <v>91</v>
      </c>
      <c r="T22">
        <v>5.4</v>
      </c>
      <c r="U22" t="s">
        <v>41</v>
      </c>
      <c r="V22" t="s">
        <v>72</v>
      </c>
    </row>
    <row r="23" spans="1:22" hidden="1" x14ac:dyDescent="0.3">
      <c r="A23" t="s">
        <v>112</v>
      </c>
      <c r="B23">
        <v>2025</v>
      </c>
      <c r="C23" t="s">
        <v>53</v>
      </c>
      <c r="D23" t="s">
        <v>69</v>
      </c>
      <c r="E23" t="s">
        <v>82</v>
      </c>
      <c r="F23" t="s">
        <v>113</v>
      </c>
      <c r="G23" t="s">
        <v>38</v>
      </c>
      <c r="H23" t="s">
        <v>114</v>
      </c>
      <c r="I23" t="s">
        <v>115</v>
      </c>
      <c r="J23">
        <v>0</v>
      </c>
      <c r="K23">
        <v>0</v>
      </c>
      <c r="L23">
        <v>-7</v>
      </c>
      <c r="M23" t="s">
        <v>30</v>
      </c>
      <c r="N23">
        <v>1</v>
      </c>
      <c r="O23">
        <v>0</v>
      </c>
      <c r="P23">
        <v>9</v>
      </c>
      <c r="Q23" t="s">
        <v>31</v>
      </c>
      <c r="R23">
        <v>3</v>
      </c>
      <c r="S23" t="s">
        <v>41</v>
      </c>
      <c r="U23" t="s">
        <v>41</v>
      </c>
      <c r="V23" t="s">
        <v>32</v>
      </c>
    </row>
    <row r="24" spans="1:22" x14ac:dyDescent="0.3">
      <c r="A24" t="s">
        <v>116</v>
      </c>
      <c r="B24">
        <v>2025</v>
      </c>
      <c r="C24" t="s">
        <v>117</v>
      </c>
      <c r="D24" t="s">
        <v>69</v>
      </c>
      <c r="E24" t="s">
        <v>36</v>
      </c>
      <c r="F24" t="s">
        <v>37</v>
      </c>
      <c r="G24" t="s">
        <v>38</v>
      </c>
      <c r="H24" t="s">
        <v>31</v>
      </c>
      <c r="I24" t="s">
        <v>90</v>
      </c>
      <c r="J24">
        <v>10</v>
      </c>
      <c r="K24">
        <v>3.2</v>
      </c>
      <c r="L24">
        <v>14.6</v>
      </c>
      <c r="M24" t="s">
        <v>47</v>
      </c>
      <c r="N24">
        <v>12</v>
      </c>
      <c r="O24">
        <v>43.73</v>
      </c>
      <c r="P24">
        <v>5</v>
      </c>
      <c r="Q24" t="s">
        <v>39</v>
      </c>
      <c r="R24">
        <v>5</v>
      </c>
      <c r="S24" t="s">
        <v>41</v>
      </c>
      <c r="T24">
        <v>7.2</v>
      </c>
      <c r="U24" t="s">
        <v>41</v>
      </c>
      <c r="V24" t="s">
        <v>32</v>
      </c>
    </row>
    <row r="25" spans="1:22" x14ac:dyDescent="0.3">
      <c r="A25" t="s">
        <v>118</v>
      </c>
      <c r="B25">
        <v>2025</v>
      </c>
      <c r="C25" t="s">
        <v>80</v>
      </c>
      <c r="D25" t="s">
        <v>69</v>
      </c>
      <c r="E25" t="s">
        <v>86</v>
      </c>
      <c r="F25" t="s">
        <v>98</v>
      </c>
      <c r="G25" t="s">
        <v>27</v>
      </c>
      <c r="H25" t="s">
        <v>31</v>
      </c>
      <c r="I25" t="s">
        <v>56</v>
      </c>
      <c r="J25">
        <v>28</v>
      </c>
      <c r="K25">
        <v>5.2</v>
      </c>
      <c r="L25">
        <v>7.7</v>
      </c>
      <c r="M25" t="s">
        <v>30</v>
      </c>
      <c r="N25">
        <v>17</v>
      </c>
      <c r="O25">
        <v>18.2</v>
      </c>
      <c r="P25">
        <v>8</v>
      </c>
      <c r="Q25" t="s">
        <v>41</v>
      </c>
      <c r="R25">
        <v>6</v>
      </c>
      <c r="S25" t="s">
        <v>28</v>
      </c>
      <c r="T25">
        <v>4.3</v>
      </c>
      <c r="U25" t="s">
        <v>41</v>
      </c>
      <c r="V25" t="s">
        <v>72</v>
      </c>
    </row>
    <row r="26" spans="1:22" x14ac:dyDescent="0.3">
      <c r="A26" t="s">
        <v>119</v>
      </c>
      <c r="B26">
        <v>2026</v>
      </c>
      <c r="C26" t="s">
        <v>74</v>
      </c>
      <c r="D26" t="s">
        <v>59</v>
      </c>
      <c r="E26" t="s">
        <v>25</v>
      </c>
      <c r="F26" t="s">
        <v>120</v>
      </c>
      <c r="G26" t="s">
        <v>38</v>
      </c>
      <c r="H26" t="s">
        <v>28</v>
      </c>
      <c r="I26" t="s">
        <v>71</v>
      </c>
      <c r="J26">
        <v>39</v>
      </c>
      <c r="K26">
        <v>2.5</v>
      </c>
      <c r="L26">
        <v>4.8</v>
      </c>
      <c r="M26" t="s">
        <v>47</v>
      </c>
      <c r="N26">
        <v>20</v>
      </c>
      <c r="O26">
        <v>197.86</v>
      </c>
      <c r="P26">
        <v>8</v>
      </c>
      <c r="Q26" t="s">
        <v>28</v>
      </c>
      <c r="R26">
        <v>5</v>
      </c>
      <c r="S26" t="s">
        <v>31</v>
      </c>
      <c r="T26">
        <v>12.1</v>
      </c>
      <c r="U26" t="s">
        <v>28</v>
      </c>
      <c r="V26" t="s">
        <v>32</v>
      </c>
    </row>
    <row r="27" spans="1:22" x14ac:dyDescent="0.3">
      <c r="A27" t="s">
        <v>121</v>
      </c>
      <c r="B27">
        <v>2024</v>
      </c>
      <c r="C27" t="s">
        <v>101</v>
      </c>
      <c r="D27" t="s">
        <v>81</v>
      </c>
      <c r="E27" t="s">
        <v>86</v>
      </c>
      <c r="F27" t="s">
        <v>60</v>
      </c>
      <c r="G27" t="s">
        <v>55</v>
      </c>
      <c r="H27" t="s">
        <v>28</v>
      </c>
      <c r="I27" t="s">
        <v>49</v>
      </c>
      <c r="J27">
        <v>27</v>
      </c>
      <c r="K27">
        <v>3.9</v>
      </c>
      <c r="L27">
        <v>0.8</v>
      </c>
      <c r="M27" t="s">
        <v>122</v>
      </c>
      <c r="N27">
        <v>0</v>
      </c>
      <c r="O27">
        <v>61.31</v>
      </c>
      <c r="P27">
        <v>5</v>
      </c>
      <c r="Q27" t="s">
        <v>28</v>
      </c>
      <c r="R27">
        <v>0</v>
      </c>
      <c r="S27" t="s">
        <v>31</v>
      </c>
      <c r="T27">
        <v>10.5</v>
      </c>
      <c r="U27" t="s">
        <v>31</v>
      </c>
      <c r="V27" t="s">
        <v>51</v>
      </c>
    </row>
    <row r="28" spans="1:22" x14ac:dyDescent="0.3">
      <c r="A28" t="s">
        <v>123</v>
      </c>
      <c r="B28">
        <v>2025</v>
      </c>
      <c r="C28" t="s">
        <v>74</v>
      </c>
      <c r="D28" t="s">
        <v>24</v>
      </c>
      <c r="E28" t="s">
        <v>86</v>
      </c>
      <c r="F28" t="s">
        <v>37</v>
      </c>
      <c r="G28" t="s">
        <v>27</v>
      </c>
      <c r="H28" t="s">
        <v>31</v>
      </c>
      <c r="I28" t="s">
        <v>40</v>
      </c>
      <c r="J28">
        <v>18</v>
      </c>
      <c r="K28">
        <v>9.9</v>
      </c>
      <c r="L28">
        <v>8.1</v>
      </c>
      <c r="M28" t="s">
        <v>50</v>
      </c>
      <c r="N28">
        <v>3</v>
      </c>
      <c r="O28">
        <v>48.19</v>
      </c>
      <c r="P28">
        <v>5</v>
      </c>
      <c r="Q28" t="s">
        <v>31</v>
      </c>
      <c r="R28">
        <v>7</v>
      </c>
      <c r="S28" t="s">
        <v>28</v>
      </c>
      <c r="T28">
        <v>5.5</v>
      </c>
      <c r="U28" t="s">
        <v>31</v>
      </c>
      <c r="V28" t="s">
        <v>32</v>
      </c>
    </row>
    <row r="29" spans="1:22" x14ac:dyDescent="0.3">
      <c r="A29" t="s">
        <v>124</v>
      </c>
      <c r="B29">
        <v>2026</v>
      </c>
      <c r="C29" t="s">
        <v>80</v>
      </c>
      <c r="D29" t="s">
        <v>43</v>
      </c>
      <c r="E29" t="s">
        <v>36</v>
      </c>
      <c r="F29" t="s">
        <v>75</v>
      </c>
      <c r="G29" t="s">
        <v>38</v>
      </c>
      <c r="H29" t="s">
        <v>31</v>
      </c>
      <c r="I29" t="s">
        <v>71</v>
      </c>
      <c r="J29">
        <v>17</v>
      </c>
      <c r="K29">
        <v>4</v>
      </c>
      <c r="L29">
        <v>-5.6</v>
      </c>
      <c r="M29" t="s">
        <v>50</v>
      </c>
      <c r="N29">
        <v>46</v>
      </c>
      <c r="O29">
        <v>116.24</v>
      </c>
      <c r="P29">
        <v>6</v>
      </c>
      <c r="Q29" t="s">
        <v>28</v>
      </c>
      <c r="R29">
        <v>6</v>
      </c>
      <c r="S29" t="s">
        <v>28</v>
      </c>
      <c r="T29">
        <v>6.6</v>
      </c>
      <c r="U29" t="s">
        <v>28</v>
      </c>
      <c r="V29" t="s">
        <v>125</v>
      </c>
    </row>
    <row r="30" spans="1:22" x14ac:dyDescent="0.3">
      <c r="A30" t="s">
        <v>126</v>
      </c>
      <c r="B30">
        <v>2026</v>
      </c>
      <c r="C30" t="s">
        <v>104</v>
      </c>
      <c r="D30" t="s">
        <v>69</v>
      </c>
      <c r="E30" t="s">
        <v>25</v>
      </c>
      <c r="F30" t="s">
        <v>60</v>
      </c>
      <c r="G30" t="s">
        <v>27</v>
      </c>
      <c r="H30" t="s">
        <v>28</v>
      </c>
      <c r="I30" t="s">
        <v>61</v>
      </c>
      <c r="J30">
        <v>107</v>
      </c>
      <c r="K30">
        <v>7.5</v>
      </c>
      <c r="L30">
        <v>7.1</v>
      </c>
      <c r="M30" t="s">
        <v>50</v>
      </c>
      <c r="N30">
        <v>86</v>
      </c>
      <c r="O30">
        <v>44.89</v>
      </c>
      <c r="P30">
        <v>7</v>
      </c>
      <c r="Q30" t="s">
        <v>31</v>
      </c>
      <c r="R30">
        <v>7</v>
      </c>
      <c r="S30" t="s">
        <v>91</v>
      </c>
      <c r="T30">
        <v>6.2</v>
      </c>
      <c r="U30" t="s">
        <v>31</v>
      </c>
      <c r="V30" t="s">
        <v>32</v>
      </c>
    </row>
    <row r="31" spans="1:22" x14ac:dyDescent="0.3">
      <c r="A31" t="s">
        <v>127</v>
      </c>
      <c r="B31">
        <v>2025</v>
      </c>
      <c r="C31" t="s">
        <v>104</v>
      </c>
      <c r="D31" t="s">
        <v>24</v>
      </c>
      <c r="E31" t="s">
        <v>25</v>
      </c>
      <c r="F31" t="s">
        <v>60</v>
      </c>
      <c r="G31" t="s">
        <v>27</v>
      </c>
      <c r="H31" t="s">
        <v>28</v>
      </c>
      <c r="I31" t="s">
        <v>71</v>
      </c>
      <c r="J31">
        <v>29</v>
      </c>
      <c r="K31">
        <v>5.9</v>
      </c>
      <c r="L31">
        <v>18.899999999999999</v>
      </c>
      <c r="M31" t="s">
        <v>30</v>
      </c>
      <c r="N31">
        <v>3</v>
      </c>
      <c r="O31">
        <v>112.97</v>
      </c>
      <c r="P31">
        <v>6</v>
      </c>
      <c r="Q31" t="s">
        <v>39</v>
      </c>
      <c r="R31">
        <v>5</v>
      </c>
      <c r="S31" t="s">
        <v>31</v>
      </c>
      <c r="T31">
        <v>8.6999999999999993</v>
      </c>
      <c r="U31" t="s">
        <v>31</v>
      </c>
      <c r="V31" t="s">
        <v>125</v>
      </c>
    </row>
    <row r="32" spans="1:22" x14ac:dyDescent="0.3">
      <c r="A32" t="s">
        <v>128</v>
      </c>
      <c r="B32">
        <v>2026</v>
      </c>
      <c r="C32" t="s">
        <v>129</v>
      </c>
      <c r="D32" t="s">
        <v>63</v>
      </c>
      <c r="E32" t="s">
        <v>36</v>
      </c>
      <c r="F32" t="s">
        <v>64</v>
      </c>
      <c r="G32" t="s">
        <v>27</v>
      </c>
      <c r="H32" t="s">
        <v>31</v>
      </c>
      <c r="I32" t="s">
        <v>46</v>
      </c>
      <c r="J32">
        <v>23</v>
      </c>
      <c r="K32">
        <v>7.7</v>
      </c>
      <c r="L32">
        <v>16.2</v>
      </c>
      <c r="M32" t="s">
        <v>50</v>
      </c>
      <c r="N32">
        <v>22</v>
      </c>
      <c r="O32">
        <v>41.21</v>
      </c>
      <c r="P32">
        <v>5</v>
      </c>
      <c r="Q32" t="s">
        <v>28</v>
      </c>
      <c r="R32">
        <v>5</v>
      </c>
      <c r="S32" t="s">
        <v>31</v>
      </c>
      <c r="T32">
        <v>6.8</v>
      </c>
      <c r="U32" t="s">
        <v>28</v>
      </c>
      <c r="V32" t="s">
        <v>32</v>
      </c>
    </row>
    <row r="33" spans="1:22" x14ac:dyDescent="0.3">
      <c r="A33" t="s">
        <v>130</v>
      </c>
      <c r="B33">
        <v>2025</v>
      </c>
      <c r="C33" t="s">
        <v>68</v>
      </c>
      <c r="D33" t="s">
        <v>85</v>
      </c>
      <c r="E33" t="s">
        <v>25</v>
      </c>
      <c r="F33" t="s">
        <v>37</v>
      </c>
      <c r="G33" t="s">
        <v>27</v>
      </c>
      <c r="H33" t="s">
        <v>31</v>
      </c>
      <c r="I33" t="s">
        <v>40</v>
      </c>
      <c r="J33">
        <v>8</v>
      </c>
      <c r="K33">
        <v>2.1</v>
      </c>
      <c r="L33">
        <v>3.7</v>
      </c>
      <c r="M33" t="s">
        <v>50</v>
      </c>
      <c r="N33">
        <v>25</v>
      </c>
      <c r="O33">
        <v>41.09</v>
      </c>
      <c r="P33">
        <v>9</v>
      </c>
      <c r="Q33" t="s">
        <v>31</v>
      </c>
      <c r="R33">
        <v>6</v>
      </c>
      <c r="S33" t="s">
        <v>28</v>
      </c>
      <c r="T33">
        <v>5.3</v>
      </c>
      <c r="U33" t="s">
        <v>41</v>
      </c>
      <c r="V33" t="s">
        <v>72</v>
      </c>
    </row>
    <row r="34" spans="1:22" x14ac:dyDescent="0.3">
      <c r="A34" t="s">
        <v>131</v>
      </c>
      <c r="B34">
        <v>2025</v>
      </c>
      <c r="C34" t="s">
        <v>74</v>
      </c>
      <c r="D34" t="s">
        <v>102</v>
      </c>
      <c r="E34" t="s">
        <v>86</v>
      </c>
      <c r="F34" t="s">
        <v>132</v>
      </c>
      <c r="G34" t="s">
        <v>76</v>
      </c>
      <c r="H34" t="s">
        <v>31</v>
      </c>
      <c r="I34" t="s">
        <v>65</v>
      </c>
      <c r="J34">
        <v>6</v>
      </c>
      <c r="K34">
        <v>2.2000000000000002</v>
      </c>
      <c r="L34">
        <v>15.4</v>
      </c>
      <c r="M34" t="s">
        <v>50</v>
      </c>
      <c r="N34">
        <v>0</v>
      </c>
      <c r="O34">
        <v>28.61</v>
      </c>
      <c r="P34">
        <v>10</v>
      </c>
      <c r="Q34" t="s">
        <v>31</v>
      </c>
      <c r="R34">
        <v>8</v>
      </c>
      <c r="S34" t="s">
        <v>28</v>
      </c>
      <c r="T34">
        <v>7.9</v>
      </c>
      <c r="U34" t="s">
        <v>31</v>
      </c>
      <c r="V34" t="s">
        <v>72</v>
      </c>
    </row>
    <row r="35" spans="1:22" x14ac:dyDescent="0.3">
      <c r="A35" t="s">
        <v>133</v>
      </c>
      <c r="B35">
        <v>2026</v>
      </c>
      <c r="C35" t="s">
        <v>134</v>
      </c>
      <c r="D35" t="s">
        <v>24</v>
      </c>
      <c r="E35" t="s">
        <v>82</v>
      </c>
      <c r="F35" t="s">
        <v>37</v>
      </c>
      <c r="G35" t="s">
        <v>27</v>
      </c>
      <c r="H35" t="s">
        <v>28</v>
      </c>
      <c r="I35" t="s">
        <v>71</v>
      </c>
      <c r="J35">
        <v>62</v>
      </c>
      <c r="K35">
        <v>26</v>
      </c>
      <c r="L35">
        <v>33.700000000000003</v>
      </c>
      <c r="M35" t="s">
        <v>50</v>
      </c>
      <c r="N35">
        <v>35</v>
      </c>
      <c r="O35">
        <v>179.86</v>
      </c>
      <c r="P35">
        <v>8</v>
      </c>
      <c r="Q35" t="s">
        <v>28</v>
      </c>
      <c r="R35">
        <v>8</v>
      </c>
      <c r="S35" t="s">
        <v>28</v>
      </c>
      <c r="T35">
        <v>8.6</v>
      </c>
      <c r="U35" t="s">
        <v>31</v>
      </c>
      <c r="V35" t="s">
        <v>72</v>
      </c>
    </row>
    <row r="36" spans="1:22" x14ac:dyDescent="0.3">
      <c r="A36" t="s">
        <v>135</v>
      </c>
      <c r="B36">
        <v>2026</v>
      </c>
      <c r="C36" t="s">
        <v>94</v>
      </c>
      <c r="D36" t="s">
        <v>81</v>
      </c>
      <c r="E36" t="s">
        <v>82</v>
      </c>
      <c r="F36" t="s">
        <v>37</v>
      </c>
      <c r="G36" t="s">
        <v>38</v>
      </c>
      <c r="H36" t="s">
        <v>28</v>
      </c>
      <c r="I36" t="s">
        <v>40</v>
      </c>
      <c r="J36">
        <v>13</v>
      </c>
      <c r="K36">
        <v>4.5</v>
      </c>
      <c r="L36">
        <v>6</v>
      </c>
      <c r="M36" t="s">
        <v>30</v>
      </c>
      <c r="N36">
        <v>20</v>
      </c>
      <c r="O36">
        <v>103.68</v>
      </c>
      <c r="P36">
        <v>5</v>
      </c>
      <c r="Q36" t="s">
        <v>31</v>
      </c>
      <c r="R36">
        <v>4</v>
      </c>
      <c r="S36" t="s">
        <v>31</v>
      </c>
      <c r="T36">
        <v>11.2</v>
      </c>
      <c r="U36" t="s">
        <v>39</v>
      </c>
      <c r="V36" t="s">
        <v>51</v>
      </c>
    </row>
    <row r="37" spans="1:22" x14ac:dyDescent="0.3">
      <c r="A37" t="s">
        <v>136</v>
      </c>
      <c r="B37">
        <v>2025</v>
      </c>
      <c r="C37" t="s">
        <v>117</v>
      </c>
      <c r="D37" t="s">
        <v>89</v>
      </c>
      <c r="E37" t="s">
        <v>36</v>
      </c>
      <c r="F37" t="s">
        <v>26</v>
      </c>
      <c r="G37" t="s">
        <v>27</v>
      </c>
      <c r="H37" t="s">
        <v>41</v>
      </c>
      <c r="I37" t="s">
        <v>65</v>
      </c>
      <c r="J37">
        <v>2</v>
      </c>
      <c r="K37">
        <v>0.5</v>
      </c>
      <c r="L37">
        <v>-7.7</v>
      </c>
      <c r="M37" t="s">
        <v>47</v>
      </c>
      <c r="N37">
        <v>8</v>
      </c>
      <c r="O37">
        <v>27.63</v>
      </c>
      <c r="P37">
        <v>8</v>
      </c>
      <c r="Q37" t="s">
        <v>31</v>
      </c>
      <c r="R37">
        <v>6</v>
      </c>
      <c r="S37" t="s">
        <v>31</v>
      </c>
      <c r="T37">
        <v>9.6</v>
      </c>
      <c r="U37" t="s">
        <v>28</v>
      </c>
      <c r="V37" t="s">
        <v>51</v>
      </c>
    </row>
    <row r="38" spans="1:22" hidden="1" x14ac:dyDescent="0.3">
      <c r="A38" t="s">
        <v>137</v>
      </c>
      <c r="B38">
        <v>2026</v>
      </c>
      <c r="C38" t="s">
        <v>23</v>
      </c>
      <c r="D38" t="s">
        <v>138</v>
      </c>
      <c r="E38" t="s">
        <v>36</v>
      </c>
      <c r="F38" t="s">
        <v>75</v>
      </c>
      <c r="G38" t="s">
        <v>38</v>
      </c>
      <c r="H38" t="s">
        <v>28</v>
      </c>
      <c r="I38" t="s">
        <v>49</v>
      </c>
      <c r="J38">
        <v>20</v>
      </c>
      <c r="L38">
        <v>7.4</v>
      </c>
      <c r="M38" t="s">
        <v>30</v>
      </c>
      <c r="N38">
        <v>30</v>
      </c>
      <c r="O38">
        <v>67.05</v>
      </c>
      <c r="P38">
        <v>4</v>
      </c>
      <c r="Q38" t="s">
        <v>39</v>
      </c>
      <c r="R38">
        <v>7</v>
      </c>
      <c r="S38" t="s">
        <v>28</v>
      </c>
      <c r="U38" t="s">
        <v>31</v>
      </c>
      <c r="V38" t="s">
        <v>51</v>
      </c>
    </row>
    <row r="39" spans="1:22" x14ac:dyDescent="0.3">
      <c r="A39" t="s">
        <v>139</v>
      </c>
      <c r="B39">
        <v>2025</v>
      </c>
      <c r="C39" t="s">
        <v>84</v>
      </c>
      <c r="D39" t="s">
        <v>63</v>
      </c>
      <c r="E39" t="s">
        <v>25</v>
      </c>
      <c r="F39" t="s">
        <v>26</v>
      </c>
      <c r="G39" t="s">
        <v>27</v>
      </c>
      <c r="H39" t="s">
        <v>39</v>
      </c>
      <c r="I39" t="s">
        <v>49</v>
      </c>
      <c r="J39">
        <v>0</v>
      </c>
      <c r="K39">
        <v>12.4</v>
      </c>
      <c r="L39">
        <v>11.6</v>
      </c>
      <c r="M39" t="s">
        <v>50</v>
      </c>
      <c r="N39">
        <v>30</v>
      </c>
      <c r="O39">
        <v>101.6</v>
      </c>
      <c r="P39">
        <v>10</v>
      </c>
      <c r="Q39" t="s">
        <v>31</v>
      </c>
      <c r="R39">
        <v>6</v>
      </c>
      <c r="S39" t="s">
        <v>28</v>
      </c>
      <c r="T39">
        <v>8.1</v>
      </c>
      <c r="U39" t="s">
        <v>28</v>
      </c>
      <c r="V39" t="s">
        <v>32</v>
      </c>
    </row>
    <row r="40" spans="1:22" x14ac:dyDescent="0.3">
      <c r="A40" t="s">
        <v>140</v>
      </c>
      <c r="B40">
        <v>2026</v>
      </c>
      <c r="C40" t="s">
        <v>129</v>
      </c>
      <c r="D40" t="s">
        <v>102</v>
      </c>
      <c r="E40" t="s">
        <v>82</v>
      </c>
      <c r="F40" t="s">
        <v>141</v>
      </c>
      <c r="G40" t="s">
        <v>55</v>
      </c>
      <c r="H40" t="s">
        <v>31</v>
      </c>
      <c r="I40" t="s">
        <v>65</v>
      </c>
      <c r="J40">
        <v>11</v>
      </c>
      <c r="K40">
        <v>3.9</v>
      </c>
      <c r="L40">
        <v>-3.5</v>
      </c>
      <c r="M40" t="s">
        <v>50</v>
      </c>
      <c r="N40">
        <v>16</v>
      </c>
      <c r="O40">
        <v>15.98</v>
      </c>
      <c r="P40">
        <v>10</v>
      </c>
      <c r="Q40" t="s">
        <v>31</v>
      </c>
      <c r="R40">
        <v>5</v>
      </c>
      <c r="S40" t="s">
        <v>28</v>
      </c>
      <c r="T40">
        <v>17.2</v>
      </c>
      <c r="U40" t="s">
        <v>41</v>
      </c>
      <c r="V40" t="s">
        <v>51</v>
      </c>
    </row>
    <row r="41" spans="1:22" x14ac:dyDescent="0.3">
      <c r="A41" t="s">
        <v>142</v>
      </c>
      <c r="B41">
        <v>2025</v>
      </c>
      <c r="C41" t="s">
        <v>53</v>
      </c>
      <c r="D41" t="s">
        <v>69</v>
      </c>
      <c r="E41" t="s">
        <v>82</v>
      </c>
      <c r="F41" t="s">
        <v>64</v>
      </c>
      <c r="G41" t="s">
        <v>55</v>
      </c>
      <c r="H41" t="s">
        <v>41</v>
      </c>
      <c r="I41" t="s">
        <v>65</v>
      </c>
      <c r="J41">
        <v>7</v>
      </c>
      <c r="K41">
        <v>3.1</v>
      </c>
      <c r="L41">
        <v>-5.3</v>
      </c>
      <c r="M41" t="s">
        <v>47</v>
      </c>
      <c r="N41">
        <v>1</v>
      </c>
      <c r="O41">
        <v>16.760000000000002</v>
      </c>
      <c r="P41">
        <v>6</v>
      </c>
      <c r="Q41" t="s">
        <v>31</v>
      </c>
      <c r="R41">
        <v>5</v>
      </c>
      <c r="S41" t="s">
        <v>41</v>
      </c>
      <c r="T41">
        <v>10.5</v>
      </c>
      <c r="U41" t="s">
        <v>31</v>
      </c>
      <c r="V41" t="s">
        <v>51</v>
      </c>
    </row>
    <row r="42" spans="1:22" x14ac:dyDescent="0.3">
      <c r="A42" t="s">
        <v>143</v>
      </c>
      <c r="B42">
        <v>2024</v>
      </c>
      <c r="C42" t="s">
        <v>53</v>
      </c>
      <c r="D42" t="s">
        <v>69</v>
      </c>
      <c r="E42" t="s">
        <v>25</v>
      </c>
      <c r="F42" t="s">
        <v>37</v>
      </c>
      <c r="G42" t="s">
        <v>55</v>
      </c>
      <c r="H42" t="s">
        <v>39</v>
      </c>
      <c r="I42" t="s">
        <v>40</v>
      </c>
      <c r="J42">
        <v>39</v>
      </c>
      <c r="K42">
        <v>11.9</v>
      </c>
      <c r="L42">
        <v>21.1</v>
      </c>
      <c r="M42" t="s">
        <v>144</v>
      </c>
      <c r="N42">
        <v>40</v>
      </c>
      <c r="O42">
        <v>213.41</v>
      </c>
      <c r="P42">
        <v>10</v>
      </c>
      <c r="Q42" t="s">
        <v>28</v>
      </c>
      <c r="R42">
        <v>9</v>
      </c>
      <c r="S42" t="s">
        <v>91</v>
      </c>
      <c r="T42">
        <v>4.3</v>
      </c>
      <c r="U42" t="s">
        <v>41</v>
      </c>
      <c r="V42" t="s">
        <v>72</v>
      </c>
    </row>
    <row r="43" spans="1:22" x14ac:dyDescent="0.3">
      <c r="A43" t="s">
        <v>145</v>
      </c>
      <c r="B43">
        <v>2025</v>
      </c>
      <c r="C43" t="s">
        <v>74</v>
      </c>
      <c r="D43" t="s">
        <v>24</v>
      </c>
      <c r="E43" t="s">
        <v>36</v>
      </c>
      <c r="F43" t="s">
        <v>113</v>
      </c>
      <c r="G43" t="s">
        <v>38</v>
      </c>
      <c r="H43" t="s">
        <v>31</v>
      </c>
      <c r="I43" t="s">
        <v>46</v>
      </c>
      <c r="J43">
        <v>31</v>
      </c>
      <c r="K43">
        <v>2.9</v>
      </c>
      <c r="L43">
        <v>-9.6999999999999993</v>
      </c>
      <c r="M43" t="s">
        <v>30</v>
      </c>
      <c r="N43">
        <v>45</v>
      </c>
      <c r="O43">
        <v>40.42</v>
      </c>
      <c r="P43">
        <v>6</v>
      </c>
      <c r="Q43" t="s">
        <v>31</v>
      </c>
      <c r="R43">
        <v>7</v>
      </c>
      <c r="S43" t="s">
        <v>28</v>
      </c>
      <c r="T43">
        <v>4.7</v>
      </c>
      <c r="U43" t="s">
        <v>41</v>
      </c>
      <c r="V43" t="s">
        <v>32</v>
      </c>
    </row>
    <row r="44" spans="1:22" x14ac:dyDescent="0.3">
      <c r="A44" t="s">
        <v>146</v>
      </c>
      <c r="B44">
        <v>2024</v>
      </c>
      <c r="C44" t="s">
        <v>74</v>
      </c>
      <c r="D44" t="s">
        <v>43</v>
      </c>
      <c r="E44" t="s">
        <v>36</v>
      </c>
      <c r="F44" t="s">
        <v>98</v>
      </c>
      <c r="G44" t="s">
        <v>45</v>
      </c>
      <c r="H44" t="s">
        <v>31</v>
      </c>
      <c r="I44" t="s">
        <v>90</v>
      </c>
      <c r="J44">
        <v>32</v>
      </c>
      <c r="K44">
        <v>2.2000000000000002</v>
      </c>
      <c r="L44">
        <v>10.7</v>
      </c>
      <c r="M44" t="s">
        <v>47</v>
      </c>
      <c r="N44">
        <v>16</v>
      </c>
      <c r="O44">
        <v>73.34</v>
      </c>
      <c r="P44">
        <v>6</v>
      </c>
      <c r="Q44" t="s">
        <v>31</v>
      </c>
      <c r="R44">
        <v>6</v>
      </c>
      <c r="S44" t="s">
        <v>31</v>
      </c>
      <c r="T44">
        <v>9.4</v>
      </c>
      <c r="U44" t="s">
        <v>31</v>
      </c>
      <c r="V44" t="s">
        <v>32</v>
      </c>
    </row>
    <row r="45" spans="1:22" x14ac:dyDescent="0.3">
      <c r="A45" t="s">
        <v>147</v>
      </c>
      <c r="B45">
        <v>2026</v>
      </c>
      <c r="C45" t="s">
        <v>117</v>
      </c>
      <c r="D45" t="s">
        <v>35</v>
      </c>
      <c r="E45" t="s">
        <v>86</v>
      </c>
      <c r="F45" t="s">
        <v>60</v>
      </c>
      <c r="G45" t="s">
        <v>148</v>
      </c>
      <c r="H45" t="s">
        <v>41</v>
      </c>
      <c r="I45" t="s">
        <v>149</v>
      </c>
      <c r="J45">
        <v>9</v>
      </c>
      <c r="K45">
        <v>1.2</v>
      </c>
      <c r="L45">
        <v>24.4</v>
      </c>
      <c r="M45" t="s">
        <v>50</v>
      </c>
      <c r="N45">
        <v>10</v>
      </c>
      <c r="O45">
        <v>13.3</v>
      </c>
      <c r="P45">
        <v>6</v>
      </c>
      <c r="Q45" t="s">
        <v>31</v>
      </c>
      <c r="R45">
        <v>8</v>
      </c>
      <c r="S45" t="s">
        <v>31</v>
      </c>
      <c r="T45">
        <v>4.5</v>
      </c>
      <c r="U45" t="s">
        <v>28</v>
      </c>
      <c r="V45" t="s">
        <v>32</v>
      </c>
    </row>
    <row r="46" spans="1:22" x14ac:dyDescent="0.3">
      <c r="A46" t="s">
        <v>150</v>
      </c>
      <c r="B46">
        <v>2026</v>
      </c>
      <c r="C46" t="s">
        <v>104</v>
      </c>
      <c r="D46" t="s">
        <v>102</v>
      </c>
      <c r="E46" t="s">
        <v>25</v>
      </c>
      <c r="F46" t="s">
        <v>141</v>
      </c>
      <c r="G46" t="s">
        <v>45</v>
      </c>
      <c r="H46" t="s">
        <v>41</v>
      </c>
      <c r="I46" t="s">
        <v>65</v>
      </c>
      <c r="J46">
        <v>5</v>
      </c>
      <c r="K46">
        <v>1</v>
      </c>
      <c r="L46">
        <v>8.6999999999999993</v>
      </c>
      <c r="M46" t="s">
        <v>30</v>
      </c>
      <c r="N46">
        <v>20</v>
      </c>
      <c r="O46">
        <v>15.92</v>
      </c>
      <c r="P46">
        <v>8</v>
      </c>
      <c r="Q46" t="s">
        <v>31</v>
      </c>
      <c r="R46">
        <v>6</v>
      </c>
      <c r="S46" t="s">
        <v>31</v>
      </c>
      <c r="T46">
        <v>5.2</v>
      </c>
      <c r="U46" t="s">
        <v>41</v>
      </c>
      <c r="V46" t="s">
        <v>32</v>
      </c>
    </row>
    <row r="47" spans="1:22" x14ac:dyDescent="0.3">
      <c r="A47" t="s">
        <v>151</v>
      </c>
      <c r="B47">
        <v>2025</v>
      </c>
      <c r="C47" t="s">
        <v>117</v>
      </c>
      <c r="D47" t="s">
        <v>81</v>
      </c>
      <c r="E47" t="s">
        <v>36</v>
      </c>
      <c r="F47" t="s">
        <v>152</v>
      </c>
      <c r="G47" t="s">
        <v>38</v>
      </c>
      <c r="H47" t="s">
        <v>41</v>
      </c>
      <c r="I47" t="s">
        <v>49</v>
      </c>
      <c r="J47">
        <v>3</v>
      </c>
      <c r="K47">
        <v>1.4</v>
      </c>
      <c r="L47">
        <v>-19.399999999999999</v>
      </c>
      <c r="M47" t="s">
        <v>47</v>
      </c>
      <c r="N47">
        <v>13</v>
      </c>
      <c r="O47">
        <v>15.87</v>
      </c>
      <c r="P47">
        <v>3</v>
      </c>
      <c r="Q47" t="s">
        <v>39</v>
      </c>
      <c r="R47">
        <v>0</v>
      </c>
      <c r="S47" t="s">
        <v>41</v>
      </c>
      <c r="T47">
        <v>16.899999999999999</v>
      </c>
      <c r="U47" t="s">
        <v>28</v>
      </c>
      <c r="V47" t="s">
        <v>125</v>
      </c>
    </row>
    <row r="48" spans="1:22" x14ac:dyDescent="0.3">
      <c r="A48" t="s">
        <v>153</v>
      </c>
      <c r="B48">
        <v>2024</v>
      </c>
      <c r="C48" t="s">
        <v>94</v>
      </c>
      <c r="D48" t="s">
        <v>43</v>
      </c>
      <c r="E48" t="s">
        <v>36</v>
      </c>
      <c r="F48" t="s">
        <v>70</v>
      </c>
      <c r="G48" t="s">
        <v>55</v>
      </c>
      <c r="H48" t="s">
        <v>31</v>
      </c>
      <c r="I48" t="s">
        <v>65</v>
      </c>
      <c r="J48">
        <v>0</v>
      </c>
      <c r="K48">
        <v>1.3</v>
      </c>
      <c r="L48">
        <v>-1.7</v>
      </c>
      <c r="M48" t="s">
        <v>30</v>
      </c>
      <c r="N48">
        <v>10</v>
      </c>
      <c r="O48">
        <v>49.36</v>
      </c>
      <c r="P48">
        <v>8</v>
      </c>
      <c r="Q48" t="s">
        <v>41</v>
      </c>
      <c r="R48">
        <v>6</v>
      </c>
      <c r="S48" t="s">
        <v>31</v>
      </c>
      <c r="T48">
        <v>8.1999999999999993</v>
      </c>
      <c r="U48" t="s">
        <v>41</v>
      </c>
      <c r="V48" t="s">
        <v>32</v>
      </c>
    </row>
    <row r="49" spans="1:22" x14ac:dyDescent="0.3">
      <c r="A49" t="s">
        <v>154</v>
      </c>
      <c r="B49">
        <v>2025</v>
      </c>
      <c r="C49" t="s">
        <v>74</v>
      </c>
      <c r="D49" t="s">
        <v>81</v>
      </c>
      <c r="E49" t="s">
        <v>82</v>
      </c>
      <c r="F49" t="s">
        <v>132</v>
      </c>
      <c r="G49" t="s">
        <v>38</v>
      </c>
      <c r="H49" t="s">
        <v>28</v>
      </c>
      <c r="I49" t="s">
        <v>65</v>
      </c>
      <c r="J49">
        <v>36</v>
      </c>
      <c r="K49">
        <v>32.200000000000003</v>
      </c>
      <c r="L49">
        <v>6.3</v>
      </c>
      <c r="M49" t="s">
        <v>50</v>
      </c>
      <c r="N49">
        <v>23</v>
      </c>
      <c r="O49">
        <v>103.23</v>
      </c>
      <c r="P49">
        <v>0</v>
      </c>
      <c r="Q49" t="s">
        <v>28</v>
      </c>
      <c r="R49">
        <v>7</v>
      </c>
      <c r="S49" t="s">
        <v>41</v>
      </c>
      <c r="T49">
        <v>10.199999999999999</v>
      </c>
      <c r="U49" t="s">
        <v>28</v>
      </c>
      <c r="V49" t="s">
        <v>51</v>
      </c>
    </row>
    <row r="50" spans="1:22" x14ac:dyDescent="0.3">
      <c r="A50" t="s">
        <v>155</v>
      </c>
      <c r="B50">
        <v>2025</v>
      </c>
      <c r="C50" t="s">
        <v>84</v>
      </c>
      <c r="D50" t="s">
        <v>156</v>
      </c>
      <c r="E50" t="s">
        <v>25</v>
      </c>
      <c r="F50" t="s">
        <v>120</v>
      </c>
      <c r="G50" t="s">
        <v>38</v>
      </c>
      <c r="H50" t="s">
        <v>39</v>
      </c>
      <c r="I50" t="s">
        <v>56</v>
      </c>
      <c r="J50">
        <v>55</v>
      </c>
      <c r="K50">
        <v>8.1</v>
      </c>
      <c r="L50">
        <v>21.9</v>
      </c>
      <c r="M50" t="s">
        <v>50</v>
      </c>
      <c r="N50">
        <v>25</v>
      </c>
      <c r="O50">
        <v>58.74</v>
      </c>
      <c r="P50">
        <v>7</v>
      </c>
      <c r="Q50" t="s">
        <v>31</v>
      </c>
      <c r="R50">
        <v>5</v>
      </c>
      <c r="S50" t="s">
        <v>28</v>
      </c>
      <c r="T50">
        <v>7.5</v>
      </c>
      <c r="U50" t="s">
        <v>28</v>
      </c>
      <c r="V50" t="s">
        <v>32</v>
      </c>
    </row>
    <row r="51" spans="1:22" x14ac:dyDescent="0.3">
      <c r="A51" t="s">
        <v>157</v>
      </c>
      <c r="B51">
        <v>2024</v>
      </c>
      <c r="C51" t="s">
        <v>34</v>
      </c>
      <c r="D51" t="s">
        <v>81</v>
      </c>
      <c r="E51" t="s">
        <v>82</v>
      </c>
      <c r="F51" t="s">
        <v>37</v>
      </c>
      <c r="G51" t="s">
        <v>27</v>
      </c>
      <c r="H51" t="s">
        <v>28</v>
      </c>
      <c r="I51" t="s">
        <v>40</v>
      </c>
      <c r="J51">
        <v>8</v>
      </c>
      <c r="K51">
        <v>2.2000000000000002</v>
      </c>
      <c r="L51">
        <v>2.7</v>
      </c>
      <c r="M51" t="s">
        <v>50</v>
      </c>
      <c r="N51">
        <v>21</v>
      </c>
      <c r="O51">
        <v>203.08</v>
      </c>
      <c r="P51">
        <v>7</v>
      </c>
      <c r="Q51" t="s">
        <v>28</v>
      </c>
      <c r="R51">
        <v>7</v>
      </c>
      <c r="S51" t="s">
        <v>31</v>
      </c>
      <c r="T51">
        <v>7.1</v>
      </c>
      <c r="U51" t="s">
        <v>28</v>
      </c>
      <c r="V51" t="s">
        <v>32</v>
      </c>
    </row>
    <row r="52" spans="1:22" x14ac:dyDescent="0.3">
      <c r="A52" t="s">
        <v>158</v>
      </c>
      <c r="B52">
        <v>2026</v>
      </c>
      <c r="C52" t="s">
        <v>74</v>
      </c>
      <c r="D52" t="s">
        <v>81</v>
      </c>
      <c r="E52" t="s">
        <v>36</v>
      </c>
      <c r="F52" t="s">
        <v>60</v>
      </c>
      <c r="G52" t="s">
        <v>76</v>
      </c>
      <c r="H52" t="s">
        <v>39</v>
      </c>
      <c r="I52" t="s">
        <v>71</v>
      </c>
      <c r="J52">
        <v>150</v>
      </c>
      <c r="K52">
        <v>26</v>
      </c>
      <c r="L52">
        <v>53.3</v>
      </c>
      <c r="M52" t="s">
        <v>144</v>
      </c>
      <c r="N52">
        <v>17</v>
      </c>
      <c r="O52">
        <v>164.44</v>
      </c>
      <c r="P52">
        <v>9</v>
      </c>
      <c r="Q52" t="s">
        <v>28</v>
      </c>
      <c r="R52">
        <v>7</v>
      </c>
      <c r="S52" t="s">
        <v>28</v>
      </c>
      <c r="T52">
        <v>6.8</v>
      </c>
      <c r="U52" t="s">
        <v>28</v>
      </c>
      <c r="V52" t="s">
        <v>72</v>
      </c>
    </row>
    <row r="53" spans="1:22" x14ac:dyDescent="0.3">
      <c r="A53" t="s">
        <v>159</v>
      </c>
      <c r="B53">
        <v>2024</v>
      </c>
      <c r="C53" t="s">
        <v>104</v>
      </c>
      <c r="D53" t="s">
        <v>24</v>
      </c>
      <c r="E53" t="s">
        <v>82</v>
      </c>
      <c r="F53" t="s">
        <v>54</v>
      </c>
      <c r="G53" t="s">
        <v>55</v>
      </c>
      <c r="H53" t="s">
        <v>31</v>
      </c>
      <c r="I53" t="s">
        <v>49</v>
      </c>
      <c r="J53">
        <v>55</v>
      </c>
      <c r="K53">
        <v>11.9</v>
      </c>
      <c r="L53">
        <v>19.7</v>
      </c>
      <c r="M53" t="s">
        <v>30</v>
      </c>
      <c r="N53">
        <v>26</v>
      </c>
      <c r="O53">
        <v>38.799999999999997</v>
      </c>
      <c r="P53">
        <v>8</v>
      </c>
      <c r="Q53" t="s">
        <v>31</v>
      </c>
      <c r="R53">
        <v>7</v>
      </c>
      <c r="S53" t="s">
        <v>31</v>
      </c>
      <c r="T53">
        <v>7.4</v>
      </c>
      <c r="U53" t="s">
        <v>41</v>
      </c>
      <c r="V53" t="s">
        <v>72</v>
      </c>
    </row>
    <row r="54" spans="1:22" x14ac:dyDescent="0.3">
      <c r="A54" t="s">
        <v>160</v>
      </c>
      <c r="B54">
        <v>2025</v>
      </c>
      <c r="C54" t="s">
        <v>84</v>
      </c>
      <c r="D54" t="s">
        <v>24</v>
      </c>
      <c r="E54" t="s">
        <v>36</v>
      </c>
      <c r="F54" t="s">
        <v>37</v>
      </c>
      <c r="G54" t="s">
        <v>27</v>
      </c>
      <c r="H54" t="s">
        <v>39</v>
      </c>
      <c r="I54" t="s">
        <v>90</v>
      </c>
      <c r="J54">
        <v>48</v>
      </c>
      <c r="K54">
        <v>10.4</v>
      </c>
      <c r="L54">
        <v>15.8</v>
      </c>
      <c r="M54" t="s">
        <v>144</v>
      </c>
      <c r="N54">
        <v>11</v>
      </c>
      <c r="O54">
        <v>147.63</v>
      </c>
      <c r="P54">
        <v>9</v>
      </c>
      <c r="Q54" t="s">
        <v>41</v>
      </c>
      <c r="R54">
        <v>5</v>
      </c>
      <c r="S54" t="s">
        <v>28</v>
      </c>
      <c r="T54">
        <v>6.5</v>
      </c>
      <c r="U54" t="s">
        <v>31</v>
      </c>
      <c r="V54" t="s">
        <v>32</v>
      </c>
    </row>
    <row r="55" spans="1:22" x14ac:dyDescent="0.3">
      <c r="A55" t="s">
        <v>161</v>
      </c>
      <c r="B55">
        <v>2026</v>
      </c>
      <c r="C55" t="s">
        <v>94</v>
      </c>
      <c r="D55" t="s">
        <v>24</v>
      </c>
      <c r="E55" t="s">
        <v>86</v>
      </c>
      <c r="F55" t="s">
        <v>75</v>
      </c>
      <c r="G55" t="s">
        <v>27</v>
      </c>
      <c r="H55" t="s">
        <v>31</v>
      </c>
      <c r="I55" t="s">
        <v>71</v>
      </c>
      <c r="J55">
        <v>20</v>
      </c>
      <c r="K55">
        <v>3.8</v>
      </c>
      <c r="L55">
        <v>17.7</v>
      </c>
      <c r="M55" t="s">
        <v>50</v>
      </c>
      <c r="N55">
        <v>40</v>
      </c>
      <c r="O55">
        <v>72.260000000000005</v>
      </c>
      <c r="P55">
        <v>10</v>
      </c>
      <c r="Q55" t="s">
        <v>31</v>
      </c>
      <c r="R55">
        <v>8</v>
      </c>
      <c r="S55" t="s">
        <v>28</v>
      </c>
      <c r="T55">
        <v>4.0999999999999996</v>
      </c>
      <c r="U55" t="s">
        <v>31</v>
      </c>
      <c r="V55" t="s">
        <v>72</v>
      </c>
    </row>
    <row r="56" spans="1:22" x14ac:dyDescent="0.3">
      <c r="A56" t="s">
        <v>162</v>
      </c>
      <c r="B56">
        <v>2026</v>
      </c>
      <c r="C56" t="s">
        <v>74</v>
      </c>
      <c r="D56" t="s">
        <v>24</v>
      </c>
      <c r="E56" t="s">
        <v>86</v>
      </c>
      <c r="F56" t="s">
        <v>60</v>
      </c>
      <c r="G56" t="s">
        <v>27</v>
      </c>
      <c r="H56" t="s">
        <v>31</v>
      </c>
      <c r="I56" t="s">
        <v>71</v>
      </c>
      <c r="J56">
        <v>33</v>
      </c>
      <c r="K56">
        <v>7.8</v>
      </c>
      <c r="L56">
        <v>17</v>
      </c>
      <c r="M56" t="s">
        <v>30</v>
      </c>
      <c r="N56">
        <v>0</v>
      </c>
      <c r="O56">
        <v>64.78</v>
      </c>
      <c r="P56">
        <v>7</v>
      </c>
      <c r="Q56" t="s">
        <v>41</v>
      </c>
      <c r="R56">
        <v>6</v>
      </c>
      <c r="S56" t="s">
        <v>28</v>
      </c>
      <c r="T56">
        <v>4.5</v>
      </c>
      <c r="U56" t="s">
        <v>39</v>
      </c>
      <c r="V56" t="s">
        <v>72</v>
      </c>
    </row>
    <row r="57" spans="1:22" x14ac:dyDescent="0.3">
      <c r="A57" t="s">
        <v>163</v>
      </c>
      <c r="B57">
        <v>2025</v>
      </c>
      <c r="C57" t="s">
        <v>74</v>
      </c>
      <c r="D57" t="s">
        <v>24</v>
      </c>
      <c r="E57" t="s">
        <v>36</v>
      </c>
      <c r="F57" t="s">
        <v>60</v>
      </c>
      <c r="G57" t="s">
        <v>76</v>
      </c>
      <c r="H57" t="s">
        <v>28</v>
      </c>
      <c r="I57" t="s">
        <v>90</v>
      </c>
      <c r="J57">
        <v>84</v>
      </c>
      <c r="K57">
        <v>21.1</v>
      </c>
      <c r="L57">
        <v>25.1</v>
      </c>
      <c r="M57" t="s">
        <v>144</v>
      </c>
      <c r="N57">
        <v>36</v>
      </c>
      <c r="O57">
        <v>62.45</v>
      </c>
      <c r="P57">
        <v>10</v>
      </c>
      <c r="Q57" t="s">
        <v>28</v>
      </c>
      <c r="R57">
        <v>5</v>
      </c>
      <c r="S57" t="s">
        <v>28</v>
      </c>
      <c r="T57">
        <v>6.3</v>
      </c>
      <c r="U57" t="s">
        <v>41</v>
      </c>
      <c r="V57" t="s">
        <v>72</v>
      </c>
    </row>
    <row r="58" spans="1:22" x14ac:dyDescent="0.3">
      <c r="A58" t="s">
        <v>164</v>
      </c>
      <c r="B58">
        <v>2026</v>
      </c>
      <c r="C58" t="s">
        <v>53</v>
      </c>
      <c r="D58" t="s">
        <v>81</v>
      </c>
      <c r="E58" t="s">
        <v>36</v>
      </c>
      <c r="F58" t="s">
        <v>37</v>
      </c>
      <c r="G58" t="s">
        <v>76</v>
      </c>
      <c r="H58" t="s">
        <v>28</v>
      </c>
      <c r="I58" t="s">
        <v>65</v>
      </c>
      <c r="J58">
        <v>10</v>
      </c>
      <c r="K58">
        <v>2.4</v>
      </c>
      <c r="L58">
        <v>-1.2</v>
      </c>
      <c r="M58" t="s">
        <v>144</v>
      </c>
      <c r="N58">
        <v>48</v>
      </c>
      <c r="O58">
        <v>68.349999999999994</v>
      </c>
      <c r="P58">
        <v>10</v>
      </c>
      <c r="Q58" t="s">
        <v>31</v>
      </c>
      <c r="R58">
        <v>7</v>
      </c>
      <c r="S58" t="s">
        <v>91</v>
      </c>
      <c r="T58">
        <v>3.5</v>
      </c>
      <c r="U58" t="s">
        <v>41</v>
      </c>
      <c r="V58" t="s">
        <v>32</v>
      </c>
    </row>
    <row r="59" spans="1:22" x14ac:dyDescent="0.3">
      <c r="A59" t="s">
        <v>165</v>
      </c>
      <c r="B59">
        <v>2026</v>
      </c>
      <c r="C59" t="s">
        <v>34</v>
      </c>
      <c r="D59" t="s">
        <v>166</v>
      </c>
      <c r="E59" t="s">
        <v>36</v>
      </c>
      <c r="F59" t="s">
        <v>132</v>
      </c>
      <c r="G59" t="s">
        <v>45</v>
      </c>
      <c r="H59" t="s">
        <v>28</v>
      </c>
      <c r="I59" t="s">
        <v>40</v>
      </c>
      <c r="J59">
        <v>22</v>
      </c>
      <c r="K59">
        <v>3</v>
      </c>
      <c r="L59">
        <v>28.2</v>
      </c>
      <c r="M59" t="s">
        <v>50</v>
      </c>
      <c r="N59">
        <v>36</v>
      </c>
      <c r="O59">
        <v>67.66</v>
      </c>
      <c r="P59">
        <v>6</v>
      </c>
      <c r="Q59" t="s">
        <v>31</v>
      </c>
      <c r="R59">
        <v>0</v>
      </c>
      <c r="S59" t="s">
        <v>28</v>
      </c>
      <c r="T59">
        <v>2.7</v>
      </c>
      <c r="U59" t="s">
        <v>28</v>
      </c>
      <c r="V59" t="s">
        <v>32</v>
      </c>
    </row>
    <row r="60" spans="1:22" x14ac:dyDescent="0.3">
      <c r="A60" t="s">
        <v>167</v>
      </c>
      <c r="B60">
        <v>2024</v>
      </c>
      <c r="C60" t="s">
        <v>134</v>
      </c>
      <c r="D60" t="s">
        <v>85</v>
      </c>
      <c r="E60" t="s">
        <v>82</v>
      </c>
      <c r="F60" t="s">
        <v>105</v>
      </c>
      <c r="G60">
        <v>0</v>
      </c>
      <c r="H60" t="s">
        <v>41</v>
      </c>
      <c r="I60" t="s">
        <v>49</v>
      </c>
      <c r="J60">
        <v>5</v>
      </c>
      <c r="K60">
        <v>1.2</v>
      </c>
      <c r="L60">
        <v>-9</v>
      </c>
      <c r="M60" t="s">
        <v>47</v>
      </c>
      <c r="N60">
        <v>0</v>
      </c>
      <c r="O60">
        <v>12.9</v>
      </c>
      <c r="P60">
        <v>5</v>
      </c>
      <c r="Q60" t="s">
        <v>28</v>
      </c>
      <c r="R60">
        <v>2</v>
      </c>
      <c r="S60" t="s">
        <v>41</v>
      </c>
      <c r="T60">
        <v>28</v>
      </c>
      <c r="U60" t="s">
        <v>28</v>
      </c>
      <c r="V60" t="s">
        <v>125</v>
      </c>
    </row>
    <row r="61" spans="1:22" x14ac:dyDescent="0.3">
      <c r="A61" t="s">
        <v>168</v>
      </c>
      <c r="B61">
        <v>2024</v>
      </c>
      <c r="C61" t="s">
        <v>169</v>
      </c>
      <c r="D61" t="s">
        <v>81</v>
      </c>
      <c r="E61" t="s">
        <v>82</v>
      </c>
      <c r="F61" t="s">
        <v>64</v>
      </c>
      <c r="G61" t="s">
        <v>38</v>
      </c>
      <c r="H61" t="s">
        <v>41</v>
      </c>
      <c r="I61" t="s">
        <v>65</v>
      </c>
      <c r="J61">
        <v>5</v>
      </c>
      <c r="K61">
        <v>1.4</v>
      </c>
      <c r="L61">
        <v>-3</v>
      </c>
      <c r="M61" t="s">
        <v>47</v>
      </c>
      <c r="N61">
        <v>0</v>
      </c>
      <c r="O61">
        <v>23.23</v>
      </c>
      <c r="P61">
        <v>7</v>
      </c>
      <c r="Q61" t="s">
        <v>31</v>
      </c>
      <c r="R61">
        <v>6</v>
      </c>
      <c r="S61" t="s">
        <v>31</v>
      </c>
      <c r="T61">
        <v>6.6</v>
      </c>
      <c r="U61" t="s">
        <v>31</v>
      </c>
      <c r="V61" t="s">
        <v>51</v>
      </c>
    </row>
    <row r="62" spans="1:22" x14ac:dyDescent="0.3">
      <c r="A62" t="s">
        <v>170</v>
      </c>
      <c r="B62">
        <v>2025</v>
      </c>
      <c r="C62" t="s">
        <v>94</v>
      </c>
      <c r="D62" t="s">
        <v>63</v>
      </c>
      <c r="E62" t="s">
        <v>36</v>
      </c>
      <c r="F62" t="s">
        <v>60</v>
      </c>
      <c r="G62" t="s">
        <v>76</v>
      </c>
      <c r="H62" t="s">
        <v>31</v>
      </c>
      <c r="I62" t="s">
        <v>61</v>
      </c>
      <c r="J62">
        <v>12</v>
      </c>
      <c r="K62">
        <v>1.4</v>
      </c>
      <c r="L62">
        <v>1.8</v>
      </c>
      <c r="M62" t="s">
        <v>47</v>
      </c>
      <c r="N62">
        <v>6</v>
      </c>
      <c r="O62">
        <v>24.2</v>
      </c>
      <c r="P62">
        <v>0</v>
      </c>
      <c r="Q62" t="s">
        <v>31</v>
      </c>
      <c r="R62">
        <v>5</v>
      </c>
      <c r="S62" t="s">
        <v>41</v>
      </c>
      <c r="T62">
        <v>9.3000000000000007</v>
      </c>
      <c r="U62" t="s">
        <v>31</v>
      </c>
      <c r="V62" t="s">
        <v>51</v>
      </c>
    </row>
    <row r="63" spans="1:22" x14ac:dyDescent="0.3">
      <c r="A63" t="s">
        <v>171</v>
      </c>
      <c r="B63">
        <v>2025</v>
      </c>
      <c r="C63" t="s">
        <v>53</v>
      </c>
      <c r="D63" t="s">
        <v>156</v>
      </c>
      <c r="E63" t="s">
        <v>172</v>
      </c>
      <c r="F63" t="s">
        <v>75</v>
      </c>
      <c r="G63" t="s">
        <v>27</v>
      </c>
      <c r="H63" t="s">
        <v>28</v>
      </c>
      <c r="I63" t="s">
        <v>65</v>
      </c>
      <c r="J63">
        <v>52</v>
      </c>
      <c r="K63">
        <v>8.3000000000000007</v>
      </c>
      <c r="L63">
        <v>10.4</v>
      </c>
      <c r="M63" t="s">
        <v>144</v>
      </c>
      <c r="N63">
        <v>58</v>
      </c>
      <c r="O63">
        <v>68.400000000000006</v>
      </c>
      <c r="P63">
        <v>7</v>
      </c>
      <c r="Q63" t="s">
        <v>31</v>
      </c>
      <c r="R63">
        <v>8</v>
      </c>
      <c r="S63" t="s">
        <v>28</v>
      </c>
      <c r="T63">
        <v>5.8</v>
      </c>
      <c r="U63" t="s">
        <v>41</v>
      </c>
      <c r="V63" t="s">
        <v>32</v>
      </c>
    </row>
    <row r="64" spans="1:22" x14ac:dyDescent="0.3">
      <c r="A64" t="s">
        <v>173</v>
      </c>
      <c r="B64">
        <v>2025</v>
      </c>
      <c r="C64" t="s">
        <v>84</v>
      </c>
      <c r="D64" t="s">
        <v>69</v>
      </c>
      <c r="E64" t="s">
        <v>82</v>
      </c>
      <c r="F64" t="s">
        <v>113</v>
      </c>
      <c r="G64" t="s">
        <v>38</v>
      </c>
      <c r="H64" t="s">
        <v>174</v>
      </c>
      <c r="I64" t="s">
        <v>71</v>
      </c>
      <c r="J64">
        <v>6</v>
      </c>
      <c r="K64">
        <v>1.2</v>
      </c>
      <c r="L64">
        <v>12.5</v>
      </c>
      <c r="M64" t="s">
        <v>30</v>
      </c>
      <c r="N64">
        <v>12</v>
      </c>
      <c r="O64">
        <v>38.39</v>
      </c>
      <c r="P64">
        <v>8</v>
      </c>
      <c r="Q64" t="s">
        <v>28</v>
      </c>
      <c r="R64">
        <v>6</v>
      </c>
      <c r="S64" t="s">
        <v>31</v>
      </c>
      <c r="T64">
        <v>18</v>
      </c>
      <c r="U64" t="s">
        <v>41</v>
      </c>
      <c r="V64" t="s">
        <v>32</v>
      </c>
    </row>
    <row r="65" spans="1:22" x14ac:dyDescent="0.3">
      <c r="A65" t="s">
        <v>175</v>
      </c>
      <c r="B65">
        <v>2025</v>
      </c>
      <c r="C65" t="s">
        <v>74</v>
      </c>
      <c r="D65" t="s">
        <v>156</v>
      </c>
      <c r="E65" t="s">
        <v>86</v>
      </c>
      <c r="F65" t="s">
        <v>120</v>
      </c>
      <c r="G65" t="s">
        <v>38</v>
      </c>
      <c r="H65" t="s">
        <v>41</v>
      </c>
      <c r="I65" t="s">
        <v>90</v>
      </c>
      <c r="J65">
        <v>9</v>
      </c>
      <c r="K65">
        <v>2.2999999999999998</v>
      </c>
      <c r="L65">
        <v>8.1999999999999993</v>
      </c>
      <c r="M65" t="s">
        <v>47</v>
      </c>
      <c r="N65">
        <v>15</v>
      </c>
      <c r="O65">
        <v>5.12</v>
      </c>
      <c r="P65">
        <v>6</v>
      </c>
      <c r="Q65" t="s">
        <v>28</v>
      </c>
      <c r="R65">
        <v>7</v>
      </c>
      <c r="S65" t="s">
        <v>31</v>
      </c>
      <c r="T65">
        <v>13.1</v>
      </c>
      <c r="U65" t="s">
        <v>28</v>
      </c>
      <c r="V65" t="s">
        <v>32</v>
      </c>
    </row>
    <row r="66" spans="1:22" x14ac:dyDescent="0.3">
      <c r="A66" t="s">
        <v>176</v>
      </c>
      <c r="B66">
        <v>2026</v>
      </c>
      <c r="C66" t="s">
        <v>84</v>
      </c>
      <c r="D66" t="s">
        <v>24</v>
      </c>
      <c r="E66" t="s">
        <v>25</v>
      </c>
      <c r="F66" t="s">
        <v>64</v>
      </c>
      <c r="G66" t="s">
        <v>55</v>
      </c>
      <c r="H66" t="s">
        <v>39</v>
      </c>
      <c r="I66" t="s">
        <v>71</v>
      </c>
      <c r="J66">
        <v>70</v>
      </c>
      <c r="K66">
        <v>13.2</v>
      </c>
      <c r="L66">
        <v>22.6</v>
      </c>
      <c r="M66" t="s">
        <v>50</v>
      </c>
      <c r="N66">
        <v>20</v>
      </c>
      <c r="O66">
        <v>215.32</v>
      </c>
      <c r="P66">
        <v>6</v>
      </c>
      <c r="Q66" t="s">
        <v>39</v>
      </c>
      <c r="R66">
        <v>7</v>
      </c>
      <c r="S66" t="s">
        <v>91</v>
      </c>
      <c r="T66">
        <v>13.2</v>
      </c>
      <c r="U66" t="s">
        <v>39</v>
      </c>
      <c r="V66" t="s">
        <v>51</v>
      </c>
    </row>
    <row r="67" spans="1:22" x14ac:dyDescent="0.3">
      <c r="A67" t="s">
        <v>177</v>
      </c>
      <c r="B67">
        <v>2024</v>
      </c>
      <c r="C67" t="s">
        <v>34</v>
      </c>
      <c r="D67" t="s">
        <v>35</v>
      </c>
      <c r="E67" t="s">
        <v>82</v>
      </c>
      <c r="F67" t="s">
        <v>54</v>
      </c>
      <c r="G67" t="s">
        <v>55</v>
      </c>
      <c r="H67" t="s">
        <v>41</v>
      </c>
      <c r="I67" t="s">
        <v>90</v>
      </c>
      <c r="J67">
        <v>6</v>
      </c>
      <c r="K67">
        <v>0.6</v>
      </c>
      <c r="L67">
        <v>-15.3</v>
      </c>
      <c r="M67" t="s">
        <v>47</v>
      </c>
      <c r="N67">
        <v>14</v>
      </c>
      <c r="O67">
        <v>22.57</v>
      </c>
      <c r="P67">
        <v>6</v>
      </c>
      <c r="Q67" t="s">
        <v>41</v>
      </c>
      <c r="R67">
        <v>3</v>
      </c>
      <c r="S67" t="s">
        <v>41</v>
      </c>
      <c r="T67">
        <v>13.5</v>
      </c>
      <c r="U67" t="s">
        <v>41</v>
      </c>
      <c r="V67" t="s">
        <v>32</v>
      </c>
    </row>
    <row r="68" spans="1:22" x14ac:dyDescent="0.3">
      <c r="A68" t="s">
        <v>178</v>
      </c>
      <c r="B68">
        <v>2025</v>
      </c>
      <c r="C68" t="s">
        <v>74</v>
      </c>
      <c r="D68" t="s">
        <v>102</v>
      </c>
      <c r="E68" t="s">
        <v>82</v>
      </c>
      <c r="F68" t="s">
        <v>26</v>
      </c>
      <c r="G68" t="s">
        <v>55</v>
      </c>
      <c r="H68" t="s">
        <v>31</v>
      </c>
      <c r="I68" t="s">
        <v>65</v>
      </c>
      <c r="J68">
        <v>19</v>
      </c>
      <c r="K68">
        <v>5.0999999999999996</v>
      </c>
      <c r="L68">
        <v>7</v>
      </c>
      <c r="M68" t="s">
        <v>47</v>
      </c>
      <c r="N68">
        <v>4</v>
      </c>
      <c r="O68">
        <v>60.09</v>
      </c>
      <c r="P68">
        <v>8</v>
      </c>
      <c r="Q68" t="s">
        <v>31</v>
      </c>
      <c r="R68">
        <v>4</v>
      </c>
      <c r="S68" t="s">
        <v>31</v>
      </c>
      <c r="T68">
        <v>8.8000000000000007</v>
      </c>
      <c r="U68" t="s">
        <v>31</v>
      </c>
      <c r="V68" t="s">
        <v>32</v>
      </c>
    </row>
    <row r="69" spans="1:22" x14ac:dyDescent="0.3">
      <c r="A69" t="s">
        <v>179</v>
      </c>
      <c r="B69">
        <v>2024</v>
      </c>
      <c r="C69" t="s">
        <v>80</v>
      </c>
      <c r="D69" t="s">
        <v>69</v>
      </c>
      <c r="E69" t="s">
        <v>86</v>
      </c>
      <c r="F69" t="s">
        <v>75</v>
      </c>
      <c r="G69" t="s">
        <v>27</v>
      </c>
      <c r="H69" t="s">
        <v>41</v>
      </c>
      <c r="I69" t="s">
        <v>65</v>
      </c>
      <c r="J69">
        <v>3</v>
      </c>
      <c r="K69">
        <v>1.1000000000000001</v>
      </c>
      <c r="L69">
        <v>10.5</v>
      </c>
      <c r="M69" t="s">
        <v>47</v>
      </c>
      <c r="N69">
        <v>2</v>
      </c>
      <c r="O69">
        <v>15.17</v>
      </c>
      <c r="P69">
        <v>6</v>
      </c>
      <c r="Q69" t="s">
        <v>28</v>
      </c>
      <c r="R69">
        <v>5</v>
      </c>
      <c r="S69" t="s">
        <v>41</v>
      </c>
      <c r="T69">
        <v>9.5</v>
      </c>
      <c r="U69" t="s">
        <v>28</v>
      </c>
      <c r="V69" t="s">
        <v>32</v>
      </c>
    </row>
    <row r="70" spans="1:22" x14ac:dyDescent="0.3">
      <c r="A70" t="s">
        <v>180</v>
      </c>
      <c r="B70">
        <v>2025</v>
      </c>
      <c r="C70" t="s">
        <v>74</v>
      </c>
      <c r="D70" t="s">
        <v>24</v>
      </c>
      <c r="E70" t="s">
        <v>82</v>
      </c>
      <c r="F70" t="s">
        <v>44</v>
      </c>
      <c r="G70" t="s">
        <v>27</v>
      </c>
      <c r="H70" t="s">
        <v>28</v>
      </c>
      <c r="I70" t="s">
        <v>65</v>
      </c>
      <c r="J70">
        <v>47</v>
      </c>
      <c r="K70">
        <v>12.1</v>
      </c>
      <c r="L70">
        <v>24</v>
      </c>
      <c r="M70" t="s">
        <v>30</v>
      </c>
      <c r="N70">
        <v>24</v>
      </c>
      <c r="O70">
        <v>47.79</v>
      </c>
      <c r="P70">
        <v>9</v>
      </c>
      <c r="Q70" t="s">
        <v>28</v>
      </c>
      <c r="R70">
        <v>6</v>
      </c>
      <c r="S70" t="s">
        <v>31</v>
      </c>
      <c r="T70">
        <v>8</v>
      </c>
      <c r="U70" t="s">
        <v>31</v>
      </c>
      <c r="V70" t="s">
        <v>32</v>
      </c>
    </row>
    <row r="71" spans="1:22" x14ac:dyDescent="0.3">
      <c r="A71" t="s">
        <v>181</v>
      </c>
      <c r="B71">
        <v>2025</v>
      </c>
      <c r="C71" t="s">
        <v>84</v>
      </c>
      <c r="D71" t="s">
        <v>69</v>
      </c>
      <c r="E71" t="s">
        <v>36</v>
      </c>
      <c r="F71" t="s">
        <v>26</v>
      </c>
      <c r="G71" t="s">
        <v>55</v>
      </c>
      <c r="H71" t="s">
        <v>31</v>
      </c>
      <c r="I71" t="s">
        <v>49</v>
      </c>
      <c r="J71">
        <v>23</v>
      </c>
      <c r="K71">
        <v>1.7</v>
      </c>
      <c r="L71">
        <v>-9.8000000000000007</v>
      </c>
      <c r="M71" t="s">
        <v>47</v>
      </c>
      <c r="N71">
        <v>11</v>
      </c>
      <c r="O71">
        <v>22.19</v>
      </c>
      <c r="P71">
        <v>4</v>
      </c>
      <c r="Q71" t="s">
        <v>28</v>
      </c>
      <c r="R71">
        <v>4</v>
      </c>
      <c r="S71" t="s">
        <v>41</v>
      </c>
      <c r="T71">
        <v>11.1</v>
      </c>
      <c r="U71" t="s">
        <v>31</v>
      </c>
      <c r="V71" t="s">
        <v>51</v>
      </c>
    </row>
    <row r="72" spans="1:22" x14ac:dyDescent="0.3">
      <c r="A72" t="s">
        <v>182</v>
      </c>
      <c r="B72">
        <v>2026</v>
      </c>
      <c r="C72" t="s">
        <v>104</v>
      </c>
      <c r="D72" t="s">
        <v>81</v>
      </c>
      <c r="E72" t="s">
        <v>82</v>
      </c>
      <c r="F72" t="s">
        <v>26</v>
      </c>
      <c r="G72" t="s">
        <v>45</v>
      </c>
      <c r="H72" t="s">
        <v>28</v>
      </c>
      <c r="I72" t="s">
        <v>61</v>
      </c>
      <c r="J72">
        <v>35</v>
      </c>
      <c r="K72">
        <v>2.6</v>
      </c>
      <c r="L72">
        <v>12.1</v>
      </c>
      <c r="M72" t="s">
        <v>47</v>
      </c>
      <c r="N72">
        <v>11</v>
      </c>
      <c r="O72">
        <v>53.67</v>
      </c>
      <c r="P72">
        <v>7</v>
      </c>
      <c r="Q72" t="s">
        <v>31</v>
      </c>
      <c r="R72">
        <v>5</v>
      </c>
      <c r="S72" t="s">
        <v>31</v>
      </c>
      <c r="T72">
        <v>13.7</v>
      </c>
      <c r="U72" t="s">
        <v>28</v>
      </c>
      <c r="V72" t="s">
        <v>32</v>
      </c>
    </row>
    <row r="73" spans="1:22" x14ac:dyDescent="0.3">
      <c r="A73" t="s">
        <v>183</v>
      </c>
      <c r="B73">
        <v>2025</v>
      </c>
      <c r="C73" t="s">
        <v>58</v>
      </c>
      <c r="D73" t="s">
        <v>24</v>
      </c>
      <c r="E73" t="s">
        <v>86</v>
      </c>
      <c r="F73" t="s">
        <v>141</v>
      </c>
      <c r="G73" t="s">
        <v>27</v>
      </c>
      <c r="H73" t="s">
        <v>41</v>
      </c>
      <c r="I73" t="s">
        <v>56</v>
      </c>
      <c r="J73">
        <v>13</v>
      </c>
      <c r="K73">
        <v>1.4</v>
      </c>
      <c r="L73">
        <v>15.3</v>
      </c>
      <c r="M73" t="s">
        <v>30</v>
      </c>
      <c r="N73">
        <v>16</v>
      </c>
      <c r="O73">
        <v>29.91</v>
      </c>
      <c r="P73">
        <v>7</v>
      </c>
      <c r="Q73" t="s">
        <v>41</v>
      </c>
      <c r="R73">
        <v>6</v>
      </c>
      <c r="S73" t="s">
        <v>28</v>
      </c>
      <c r="T73">
        <v>4.0999999999999996</v>
      </c>
      <c r="U73" t="s">
        <v>41</v>
      </c>
      <c r="V73" t="s">
        <v>32</v>
      </c>
    </row>
    <row r="74" spans="1:22" x14ac:dyDescent="0.3">
      <c r="A74" t="s">
        <v>184</v>
      </c>
      <c r="B74">
        <v>2025</v>
      </c>
      <c r="C74" t="s">
        <v>74</v>
      </c>
      <c r="D74" t="s">
        <v>43</v>
      </c>
      <c r="E74" t="s">
        <v>86</v>
      </c>
      <c r="F74" t="s">
        <v>87</v>
      </c>
      <c r="G74" t="s">
        <v>38</v>
      </c>
      <c r="H74" t="s">
        <v>41</v>
      </c>
      <c r="I74" t="s">
        <v>46</v>
      </c>
      <c r="J74">
        <v>5</v>
      </c>
      <c r="K74">
        <v>3.4</v>
      </c>
      <c r="L74">
        <v>6.7</v>
      </c>
      <c r="M74" t="s">
        <v>47</v>
      </c>
      <c r="N74">
        <v>10</v>
      </c>
      <c r="O74">
        <v>11.01</v>
      </c>
      <c r="P74">
        <v>5</v>
      </c>
      <c r="Q74" t="s">
        <v>28</v>
      </c>
      <c r="R74">
        <v>5</v>
      </c>
      <c r="S74" t="s">
        <v>41</v>
      </c>
      <c r="T74">
        <v>6.5</v>
      </c>
      <c r="U74" t="s">
        <v>31</v>
      </c>
      <c r="V74" t="s">
        <v>51</v>
      </c>
    </row>
    <row r="75" spans="1:22" x14ac:dyDescent="0.3">
      <c r="A75" t="s">
        <v>185</v>
      </c>
      <c r="B75">
        <v>2026</v>
      </c>
      <c r="C75" t="s">
        <v>134</v>
      </c>
      <c r="D75" t="s">
        <v>102</v>
      </c>
      <c r="E75" t="s">
        <v>36</v>
      </c>
      <c r="F75" t="s">
        <v>105</v>
      </c>
      <c r="G75" t="s">
        <v>27</v>
      </c>
      <c r="H75" t="s">
        <v>28</v>
      </c>
      <c r="I75" t="s">
        <v>49</v>
      </c>
      <c r="J75">
        <v>64</v>
      </c>
      <c r="K75">
        <v>16.100000000000001</v>
      </c>
      <c r="L75">
        <v>5.9</v>
      </c>
      <c r="M75" t="s">
        <v>30</v>
      </c>
      <c r="N75">
        <v>17</v>
      </c>
      <c r="O75">
        <v>58.35</v>
      </c>
      <c r="P75">
        <v>8</v>
      </c>
      <c r="Q75" t="s">
        <v>41</v>
      </c>
      <c r="R75">
        <v>5</v>
      </c>
      <c r="S75" t="s">
        <v>28</v>
      </c>
      <c r="T75">
        <v>12.7</v>
      </c>
      <c r="U75" t="s">
        <v>28</v>
      </c>
      <c r="V75" t="s">
        <v>32</v>
      </c>
    </row>
    <row r="76" spans="1:22" x14ac:dyDescent="0.3">
      <c r="A76" t="s">
        <v>186</v>
      </c>
      <c r="B76">
        <v>2025</v>
      </c>
      <c r="C76" t="s">
        <v>53</v>
      </c>
      <c r="D76" t="s">
        <v>102</v>
      </c>
      <c r="E76" t="s">
        <v>82</v>
      </c>
      <c r="F76" t="s">
        <v>105</v>
      </c>
      <c r="G76" t="s">
        <v>55</v>
      </c>
      <c r="H76" t="s">
        <v>39</v>
      </c>
      <c r="I76" t="s">
        <v>49</v>
      </c>
      <c r="J76">
        <v>36</v>
      </c>
      <c r="K76">
        <v>3.1</v>
      </c>
      <c r="L76">
        <v>-8.9</v>
      </c>
      <c r="M76" t="s">
        <v>30</v>
      </c>
      <c r="N76">
        <v>6</v>
      </c>
      <c r="O76">
        <v>133.25</v>
      </c>
      <c r="P76">
        <v>7</v>
      </c>
      <c r="Q76" t="s">
        <v>28</v>
      </c>
      <c r="R76">
        <v>5</v>
      </c>
      <c r="S76" t="s">
        <v>31</v>
      </c>
      <c r="T76">
        <v>9.8000000000000007</v>
      </c>
      <c r="U76" t="s">
        <v>39</v>
      </c>
      <c r="V76" t="s">
        <v>51</v>
      </c>
    </row>
    <row r="77" spans="1:22" x14ac:dyDescent="0.3">
      <c r="A77" t="s">
        <v>187</v>
      </c>
      <c r="B77">
        <v>2024</v>
      </c>
      <c r="C77" t="s">
        <v>104</v>
      </c>
      <c r="D77" t="s">
        <v>24</v>
      </c>
      <c r="E77" t="s">
        <v>82</v>
      </c>
      <c r="F77" t="s">
        <v>75</v>
      </c>
      <c r="G77" t="s">
        <v>27</v>
      </c>
      <c r="H77" t="s">
        <v>39</v>
      </c>
      <c r="I77" t="s">
        <v>65</v>
      </c>
      <c r="J77">
        <v>42</v>
      </c>
      <c r="K77">
        <v>13.4</v>
      </c>
      <c r="L77">
        <v>18.600000000000001</v>
      </c>
      <c r="M77" t="s">
        <v>30</v>
      </c>
      <c r="N77">
        <v>5</v>
      </c>
      <c r="O77">
        <v>155.6</v>
      </c>
      <c r="P77">
        <v>9</v>
      </c>
      <c r="Q77" t="s">
        <v>41</v>
      </c>
      <c r="R77">
        <v>5</v>
      </c>
      <c r="S77" t="s">
        <v>28</v>
      </c>
      <c r="T77">
        <v>8.3000000000000007</v>
      </c>
      <c r="U77" t="s">
        <v>28</v>
      </c>
      <c r="V77" t="s">
        <v>72</v>
      </c>
    </row>
    <row r="78" spans="1:22" x14ac:dyDescent="0.3">
      <c r="A78" t="s">
        <v>188</v>
      </c>
      <c r="B78">
        <v>2026</v>
      </c>
      <c r="C78" t="s">
        <v>104</v>
      </c>
      <c r="D78" t="s">
        <v>63</v>
      </c>
      <c r="E78" t="s">
        <v>86</v>
      </c>
      <c r="F78" t="s">
        <v>75</v>
      </c>
      <c r="G78" t="s">
        <v>38</v>
      </c>
      <c r="H78" t="s">
        <v>28</v>
      </c>
      <c r="I78" t="s">
        <v>49</v>
      </c>
      <c r="J78">
        <v>41</v>
      </c>
      <c r="K78">
        <v>9</v>
      </c>
      <c r="L78">
        <v>6.2</v>
      </c>
      <c r="M78" t="s">
        <v>30</v>
      </c>
      <c r="N78">
        <v>3</v>
      </c>
      <c r="O78">
        <v>46.31</v>
      </c>
      <c r="P78">
        <v>7</v>
      </c>
      <c r="Q78" t="s">
        <v>28</v>
      </c>
      <c r="R78">
        <v>6</v>
      </c>
      <c r="S78" t="s">
        <v>28</v>
      </c>
      <c r="T78">
        <v>5.6</v>
      </c>
      <c r="U78" t="s">
        <v>28</v>
      </c>
      <c r="V78" t="s">
        <v>32</v>
      </c>
    </row>
    <row r="79" spans="1:22" x14ac:dyDescent="0.3">
      <c r="A79" t="s">
        <v>189</v>
      </c>
      <c r="B79">
        <v>2026</v>
      </c>
      <c r="C79" t="s">
        <v>53</v>
      </c>
      <c r="D79" t="s">
        <v>156</v>
      </c>
      <c r="E79" t="s">
        <v>190</v>
      </c>
      <c r="F79" t="s">
        <v>37</v>
      </c>
      <c r="G79" t="s">
        <v>55</v>
      </c>
      <c r="H79" t="s">
        <v>28</v>
      </c>
      <c r="I79" t="s">
        <v>40</v>
      </c>
      <c r="J79">
        <v>21</v>
      </c>
      <c r="K79">
        <v>10</v>
      </c>
      <c r="L79">
        <v>27.8</v>
      </c>
      <c r="M79" t="s">
        <v>50</v>
      </c>
      <c r="N79">
        <v>19</v>
      </c>
      <c r="O79">
        <v>172.57</v>
      </c>
      <c r="P79">
        <v>7</v>
      </c>
      <c r="Q79" t="s">
        <v>31</v>
      </c>
      <c r="R79">
        <v>8</v>
      </c>
      <c r="S79" t="s">
        <v>28</v>
      </c>
      <c r="T79">
        <v>4.8</v>
      </c>
      <c r="U79" t="s">
        <v>41</v>
      </c>
      <c r="V79" t="s">
        <v>72</v>
      </c>
    </row>
    <row r="80" spans="1:22" x14ac:dyDescent="0.3">
      <c r="A80" t="s">
        <v>191</v>
      </c>
      <c r="B80">
        <v>2024</v>
      </c>
      <c r="C80" t="s">
        <v>104</v>
      </c>
      <c r="D80" t="s">
        <v>81</v>
      </c>
      <c r="E80" t="s">
        <v>25</v>
      </c>
      <c r="F80" t="s">
        <v>37</v>
      </c>
      <c r="G80" t="s">
        <v>38</v>
      </c>
      <c r="H80" t="s">
        <v>31</v>
      </c>
      <c r="I80" t="s">
        <v>46</v>
      </c>
      <c r="J80">
        <v>16</v>
      </c>
      <c r="K80">
        <v>5.5</v>
      </c>
      <c r="L80">
        <v>18.899999999999999</v>
      </c>
      <c r="M80" t="s">
        <v>30</v>
      </c>
      <c r="N80">
        <v>16</v>
      </c>
      <c r="O80">
        <v>25.61</v>
      </c>
      <c r="P80">
        <v>6</v>
      </c>
      <c r="Q80" t="s">
        <v>31</v>
      </c>
      <c r="R80">
        <v>5</v>
      </c>
      <c r="S80" t="s">
        <v>28</v>
      </c>
      <c r="T80">
        <v>7.7</v>
      </c>
      <c r="U80" t="s">
        <v>41</v>
      </c>
      <c r="V80" t="s">
        <v>72</v>
      </c>
    </row>
    <row r="81" spans="1:22" x14ac:dyDescent="0.3">
      <c r="A81" t="s">
        <v>192</v>
      </c>
      <c r="B81">
        <v>2026</v>
      </c>
      <c r="C81" t="s">
        <v>53</v>
      </c>
      <c r="D81" t="s">
        <v>35</v>
      </c>
      <c r="E81" t="s">
        <v>193</v>
      </c>
      <c r="F81" t="s">
        <v>37</v>
      </c>
      <c r="G81" t="s">
        <v>55</v>
      </c>
      <c r="H81" t="s">
        <v>39</v>
      </c>
      <c r="I81" t="s">
        <v>40</v>
      </c>
      <c r="J81">
        <v>44</v>
      </c>
      <c r="K81">
        <v>10.9</v>
      </c>
      <c r="L81">
        <v>34.799999999999997</v>
      </c>
      <c r="M81" t="s">
        <v>144</v>
      </c>
      <c r="N81">
        <v>33</v>
      </c>
      <c r="O81">
        <v>211.13</v>
      </c>
      <c r="P81">
        <v>9</v>
      </c>
      <c r="Q81" t="s">
        <v>28</v>
      </c>
      <c r="R81">
        <v>9</v>
      </c>
      <c r="S81" t="s">
        <v>91</v>
      </c>
      <c r="T81">
        <v>2.2000000000000002</v>
      </c>
      <c r="U81" t="s">
        <v>41</v>
      </c>
      <c r="V81" t="s">
        <v>72</v>
      </c>
    </row>
    <row r="82" spans="1:22" x14ac:dyDescent="0.3">
      <c r="A82" t="s">
        <v>194</v>
      </c>
      <c r="B82">
        <v>2024</v>
      </c>
      <c r="C82" t="s">
        <v>53</v>
      </c>
      <c r="D82" t="s">
        <v>24</v>
      </c>
      <c r="E82" t="s">
        <v>36</v>
      </c>
      <c r="F82" t="s">
        <v>75</v>
      </c>
      <c r="G82" t="s">
        <v>55</v>
      </c>
      <c r="H82" t="s">
        <v>28</v>
      </c>
      <c r="I82" t="s">
        <v>49</v>
      </c>
      <c r="J82">
        <v>20</v>
      </c>
      <c r="K82">
        <v>4.5999999999999996</v>
      </c>
      <c r="L82">
        <v>6.1</v>
      </c>
      <c r="M82" t="s">
        <v>30</v>
      </c>
      <c r="N82">
        <v>14</v>
      </c>
      <c r="O82">
        <v>43.21</v>
      </c>
      <c r="P82">
        <v>7</v>
      </c>
      <c r="Q82" t="s">
        <v>31</v>
      </c>
      <c r="R82">
        <v>7</v>
      </c>
      <c r="S82" t="s">
        <v>31</v>
      </c>
      <c r="T82">
        <v>6.9</v>
      </c>
      <c r="U82" t="s">
        <v>31</v>
      </c>
      <c r="V82" t="s">
        <v>32</v>
      </c>
    </row>
    <row r="83" spans="1:22" x14ac:dyDescent="0.3">
      <c r="A83" t="s">
        <v>195</v>
      </c>
      <c r="B83">
        <v>2025</v>
      </c>
      <c r="C83" t="s">
        <v>196</v>
      </c>
      <c r="D83" t="s">
        <v>89</v>
      </c>
      <c r="E83" t="s">
        <v>36</v>
      </c>
      <c r="F83" t="s">
        <v>75</v>
      </c>
      <c r="G83" t="s">
        <v>197</v>
      </c>
      <c r="H83" t="s">
        <v>31</v>
      </c>
      <c r="I83" t="s">
        <v>65</v>
      </c>
      <c r="J83">
        <v>23</v>
      </c>
      <c r="K83">
        <v>10.1</v>
      </c>
      <c r="L83">
        <v>12.4</v>
      </c>
      <c r="M83" t="s">
        <v>50</v>
      </c>
      <c r="N83">
        <v>43</v>
      </c>
      <c r="O83">
        <v>15.25</v>
      </c>
      <c r="P83">
        <v>8</v>
      </c>
      <c r="Q83" t="s">
        <v>31</v>
      </c>
      <c r="R83">
        <v>7</v>
      </c>
      <c r="S83" t="s">
        <v>31</v>
      </c>
      <c r="T83">
        <v>6.8</v>
      </c>
      <c r="U83" t="s">
        <v>41</v>
      </c>
      <c r="V83" t="s">
        <v>72</v>
      </c>
    </row>
    <row r="84" spans="1:22" x14ac:dyDescent="0.3">
      <c r="A84" t="s">
        <v>198</v>
      </c>
      <c r="B84">
        <v>2024</v>
      </c>
      <c r="C84" t="s">
        <v>53</v>
      </c>
      <c r="D84" t="s">
        <v>35</v>
      </c>
      <c r="E84" t="s">
        <v>86</v>
      </c>
      <c r="F84" t="s">
        <v>64</v>
      </c>
      <c r="G84" t="s">
        <v>38</v>
      </c>
      <c r="H84" t="s">
        <v>41</v>
      </c>
      <c r="I84" t="s">
        <v>46</v>
      </c>
      <c r="J84">
        <v>17</v>
      </c>
      <c r="K84">
        <v>1.2</v>
      </c>
      <c r="L84">
        <v>4.0999999999999996</v>
      </c>
      <c r="M84" t="s">
        <v>30</v>
      </c>
      <c r="N84">
        <v>6</v>
      </c>
      <c r="O84">
        <v>30.73</v>
      </c>
      <c r="P84">
        <v>9</v>
      </c>
      <c r="Q84" t="s">
        <v>41</v>
      </c>
      <c r="R84">
        <v>6</v>
      </c>
      <c r="S84" t="s">
        <v>41</v>
      </c>
      <c r="T84">
        <v>5.5</v>
      </c>
      <c r="U84" t="s">
        <v>41</v>
      </c>
      <c r="V84" t="s">
        <v>32</v>
      </c>
    </row>
    <row r="85" spans="1:22" x14ac:dyDescent="0.3">
      <c r="A85" t="s">
        <v>199</v>
      </c>
      <c r="B85">
        <v>2026</v>
      </c>
      <c r="C85" t="s">
        <v>200</v>
      </c>
      <c r="D85" t="s">
        <v>156</v>
      </c>
      <c r="E85" t="s">
        <v>25</v>
      </c>
      <c r="F85" t="s">
        <v>141</v>
      </c>
      <c r="G85" t="s">
        <v>27</v>
      </c>
      <c r="H85" t="s">
        <v>28</v>
      </c>
      <c r="I85" t="s">
        <v>49</v>
      </c>
      <c r="J85">
        <v>27</v>
      </c>
      <c r="K85">
        <v>4.5</v>
      </c>
      <c r="L85">
        <v>8.8000000000000007</v>
      </c>
      <c r="M85" t="s">
        <v>50</v>
      </c>
      <c r="N85">
        <v>34</v>
      </c>
      <c r="O85">
        <v>88.23</v>
      </c>
      <c r="P85">
        <v>6</v>
      </c>
      <c r="Q85" t="s">
        <v>31</v>
      </c>
      <c r="R85">
        <v>7</v>
      </c>
      <c r="S85" t="s">
        <v>91</v>
      </c>
      <c r="T85">
        <v>7.3</v>
      </c>
      <c r="U85" t="s">
        <v>41</v>
      </c>
      <c r="V85" t="s">
        <v>51</v>
      </c>
    </row>
    <row r="86" spans="1:22" x14ac:dyDescent="0.3">
      <c r="A86" t="s">
        <v>201</v>
      </c>
      <c r="B86">
        <v>2025</v>
      </c>
      <c r="C86" t="s">
        <v>74</v>
      </c>
      <c r="D86" t="s">
        <v>24</v>
      </c>
      <c r="E86" t="s">
        <v>36</v>
      </c>
      <c r="F86" t="s">
        <v>26</v>
      </c>
      <c r="G86" t="s">
        <v>55</v>
      </c>
      <c r="H86" t="s">
        <v>31</v>
      </c>
      <c r="I86" t="s">
        <v>65</v>
      </c>
      <c r="J86">
        <v>28</v>
      </c>
      <c r="K86">
        <v>8.8000000000000007</v>
      </c>
      <c r="L86">
        <v>22.3</v>
      </c>
      <c r="M86" t="s">
        <v>30</v>
      </c>
      <c r="N86">
        <v>27</v>
      </c>
      <c r="O86">
        <v>20.54</v>
      </c>
      <c r="P86">
        <v>4</v>
      </c>
      <c r="Q86" t="s">
        <v>41</v>
      </c>
      <c r="R86">
        <v>6</v>
      </c>
      <c r="S86" t="s">
        <v>31</v>
      </c>
      <c r="T86">
        <v>9.6999999999999993</v>
      </c>
      <c r="U86" t="s">
        <v>31</v>
      </c>
      <c r="V86" t="s">
        <v>32</v>
      </c>
    </row>
    <row r="87" spans="1:22" x14ac:dyDescent="0.3">
      <c r="A87" t="s">
        <v>202</v>
      </c>
      <c r="B87">
        <v>2026</v>
      </c>
      <c r="C87" t="s">
        <v>74</v>
      </c>
      <c r="D87" t="s">
        <v>69</v>
      </c>
      <c r="E87" t="s">
        <v>25</v>
      </c>
      <c r="F87" t="s">
        <v>37</v>
      </c>
      <c r="G87" t="s">
        <v>38</v>
      </c>
      <c r="H87" t="s">
        <v>31</v>
      </c>
      <c r="I87" t="s">
        <v>40</v>
      </c>
      <c r="J87">
        <v>7</v>
      </c>
      <c r="K87">
        <v>3.3</v>
      </c>
      <c r="L87">
        <v>-0.4</v>
      </c>
      <c r="M87" t="s">
        <v>30</v>
      </c>
      <c r="N87">
        <v>18</v>
      </c>
      <c r="O87">
        <v>107.57</v>
      </c>
      <c r="P87">
        <v>7</v>
      </c>
      <c r="Q87" t="s">
        <v>31</v>
      </c>
      <c r="R87">
        <v>7</v>
      </c>
      <c r="S87" t="s">
        <v>31</v>
      </c>
      <c r="T87">
        <v>7.2</v>
      </c>
      <c r="U87" t="s">
        <v>31</v>
      </c>
      <c r="V87" t="s">
        <v>32</v>
      </c>
    </row>
    <row r="88" spans="1:22" x14ac:dyDescent="0.3">
      <c r="A88" t="s">
        <v>203</v>
      </c>
      <c r="B88">
        <v>2025</v>
      </c>
      <c r="C88" t="s">
        <v>80</v>
      </c>
      <c r="D88" t="s">
        <v>81</v>
      </c>
      <c r="E88" t="s">
        <v>82</v>
      </c>
      <c r="F88" t="s">
        <v>105</v>
      </c>
      <c r="G88" t="s">
        <v>27</v>
      </c>
      <c r="H88" t="s">
        <v>31</v>
      </c>
      <c r="I88" t="s">
        <v>49</v>
      </c>
      <c r="J88">
        <v>12</v>
      </c>
      <c r="K88">
        <v>2.5</v>
      </c>
      <c r="L88">
        <v>5.0999999999999996</v>
      </c>
      <c r="M88" t="s">
        <v>30</v>
      </c>
      <c r="N88">
        <v>7</v>
      </c>
      <c r="O88">
        <v>46.31</v>
      </c>
      <c r="P88">
        <v>0</v>
      </c>
      <c r="Q88" t="s">
        <v>28</v>
      </c>
      <c r="R88">
        <v>3</v>
      </c>
      <c r="S88" t="s">
        <v>31</v>
      </c>
      <c r="T88">
        <v>13.9</v>
      </c>
      <c r="U88" t="s">
        <v>31</v>
      </c>
      <c r="V88" t="s">
        <v>32</v>
      </c>
    </row>
    <row r="89" spans="1:22" x14ac:dyDescent="0.3">
      <c r="A89" t="s">
        <v>204</v>
      </c>
      <c r="B89">
        <v>2025</v>
      </c>
      <c r="C89" t="s">
        <v>74</v>
      </c>
      <c r="D89" t="s">
        <v>89</v>
      </c>
      <c r="E89" t="s">
        <v>36</v>
      </c>
      <c r="F89" t="s">
        <v>64</v>
      </c>
      <c r="G89" t="s">
        <v>55</v>
      </c>
      <c r="H89" t="s">
        <v>39</v>
      </c>
      <c r="I89" t="s">
        <v>46</v>
      </c>
      <c r="J89">
        <v>63</v>
      </c>
      <c r="K89">
        <v>3.8</v>
      </c>
      <c r="L89">
        <v>9.4</v>
      </c>
      <c r="M89" t="s">
        <v>50</v>
      </c>
      <c r="N89">
        <v>10</v>
      </c>
      <c r="O89">
        <v>85.1</v>
      </c>
      <c r="P89">
        <v>9</v>
      </c>
      <c r="Q89" t="s">
        <v>41</v>
      </c>
      <c r="R89">
        <v>5</v>
      </c>
      <c r="S89" t="s">
        <v>28</v>
      </c>
      <c r="T89">
        <v>9</v>
      </c>
      <c r="U89" t="s">
        <v>41</v>
      </c>
      <c r="V89" t="s">
        <v>72</v>
      </c>
    </row>
    <row r="90" spans="1:22" hidden="1" x14ac:dyDescent="0.3">
      <c r="A90" t="s">
        <v>205</v>
      </c>
      <c r="B90">
        <v>2024</v>
      </c>
      <c r="C90" t="s">
        <v>74</v>
      </c>
      <c r="D90" t="s">
        <v>35</v>
      </c>
      <c r="E90" t="s">
        <v>86</v>
      </c>
      <c r="F90" t="s">
        <v>87</v>
      </c>
      <c r="G90" t="s">
        <v>76</v>
      </c>
      <c r="H90" t="s">
        <v>114</v>
      </c>
      <c r="I90" t="s">
        <v>115</v>
      </c>
      <c r="J90">
        <v>0</v>
      </c>
      <c r="K90">
        <v>0</v>
      </c>
      <c r="L90">
        <v>-6</v>
      </c>
      <c r="M90" t="s">
        <v>47</v>
      </c>
      <c r="N90">
        <v>0</v>
      </c>
      <c r="O90">
        <v>0</v>
      </c>
      <c r="P90">
        <v>6</v>
      </c>
      <c r="Q90" t="s">
        <v>31</v>
      </c>
      <c r="R90">
        <v>3</v>
      </c>
      <c r="S90" t="s">
        <v>41</v>
      </c>
      <c r="U90" t="s">
        <v>31</v>
      </c>
      <c r="V90" t="s">
        <v>32</v>
      </c>
    </row>
    <row r="91" spans="1:22" x14ac:dyDescent="0.3">
      <c r="A91" t="s">
        <v>206</v>
      </c>
      <c r="B91">
        <v>2026</v>
      </c>
      <c r="C91" t="s">
        <v>104</v>
      </c>
      <c r="D91" t="s">
        <v>81</v>
      </c>
      <c r="E91" t="s">
        <v>36</v>
      </c>
      <c r="F91" t="s">
        <v>75</v>
      </c>
      <c r="G91" t="s">
        <v>45</v>
      </c>
      <c r="H91" t="s">
        <v>28</v>
      </c>
      <c r="I91" t="s">
        <v>49</v>
      </c>
      <c r="J91">
        <v>23</v>
      </c>
      <c r="K91">
        <v>4.3</v>
      </c>
      <c r="L91">
        <v>1.1000000000000001</v>
      </c>
      <c r="M91" t="s">
        <v>30</v>
      </c>
      <c r="N91">
        <v>26</v>
      </c>
      <c r="O91">
        <v>98.5</v>
      </c>
      <c r="P91">
        <v>5</v>
      </c>
      <c r="Q91" t="s">
        <v>31</v>
      </c>
      <c r="R91">
        <v>4</v>
      </c>
      <c r="S91" t="s">
        <v>31</v>
      </c>
      <c r="T91">
        <v>8.3000000000000007</v>
      </c>
      <c r="U91" t="s">
        <v>28</v>
      </c>
      <c r="V91" t="s">
        <v>51</v>
      </c>
    </row>
    <row r="92" spans="1:22" x14ac:dyDescent="0.3">
      <c r="A92" t="s">
        <v>207</v>
      </c>
      <c r="B92">
        <v>2026</v>
      </c>
      <c r="C92" t="s">
        <v>84</v>
      </c>
      <c r="D92" t="s">
        <v>208</v>
      </c>
      <c r="E92" t="s">
        <v>86</v>
      </c>
      <c r="F92" t="s">
        <v>37</v>
      </c>
      <c r="G92" t="s">
        <v>45</v>
      </c>
      <c r="H92" t="s">
        <v>39</v>
      </c>
      <c r="I92" t="s">
        <v>40</v>
      </c>
      <c r="J92">
        <v>35</v>
      </c>
      <c r="K92">
        <v>6.3</v>
      </c>
      <c r="L92">
        <v>18.3</v>
      </c>
      <c r="M92" t="s">
        <v>144</v>
      </c>
      <c r="N92">
        <v>0</v>
      </c>
      <c r="O92">
        <v>59.32</v>
      </c>
      <c r="P92">
        <v>7</v>
      </c>
      <c r="Q92" t="s">
        <v>28</v>
      </c>
      <c r="R92">
        <v>0</v>
      </c>
      <c r="S92" t="s">
        <v>91</v>
      </c>
      <c r="T92">
        <v>4.2</v>
      </c>
      <c r="U92" t="s">
        <v>31</v>
      </c>
      <c r="V92" t="s">
        <v>72</v>
      </c>
    </row>
    <row r="93" spans="1:22" x14ac:dyDescent="0.3">
      <c r="A93" t="s">
        <v>209</v>
      </c>
      <c r="B93">
        <v>2025</v>
      </c>
      <c r="C93" t="s">
        <v>53</v>
      </c>
      <c r="D93" t="s">
        <v>63</v>
      </c>
      <c r="E93" t="s">
        <v>36</v>
      </c>
      <c r="F93" t="s">
        <v>60</v>
      </c>
      <c r="G93" t="s">
        <v>38</v>
      </c>
      <c r="H93" t="s">
        <v>28</v>
      </c>
      <c r="I93" t="s">
        <v>61</v>
      </c>
      <c r="J93">
        <v>40</v>
      </c>
      <c r="K93">
        <v>8.5</v>
      </c>
      <c r="L93">
        <v>16.100000000000001</v>
      </c>
      <c r="M93" t="s">
        <v>50</v>
      </c>
      <c r="N93">
        <v>38</v>
      </c>
      <c r="O93">
        <v>154.47999999999999</v>
      </c>
      <c r="P93">
        <v>6</v>
      </c>
      <c r="Q93" t="s">
        <v>28</v>
      </c>
      <c r="R93">
        <v>7</v>
      </c>
      <c r="S93" t="s">
        <v>28</v>
      </c>
      <c r="T93">
        <v>6.2</v>
      </c>
      <c r="U93" t="s">
        <v>31</v>
      </c>
      <c r="V93" t="s">
        <v>32</v>
      </c>
    </row>
    <row r="94" spans="1:22" x14ac:dyDescent="0.3">
      <c r="A94" t="s">
        <v>210</v>
      </c>
      <c r="B94">
        <v>2026</v>
      </c>
      <c r="C94" t="s">
        <v>101</v>
      </c>
      <c r="D94" t="s">
        <v>102</v>
      </c>
      <c r="E94" t="s">
        <v>82</v>
      </c>
      <c r="F94" t="s">
        <v>26</v>
      </c>
      <c r="G94" t="s">
        <v>55</v>
      </c>
      <c r="H94" t="s">
        <v>28</v>
      </c>
      <c r="I94" t="s">
        <v>49</v>
      </c>
      <c r="J94">
        <v>28</v>
      </c>
      <c r="K94">
        <v>6.3</v>
      </c>
      <c r="L94">
        <v>13.2</v>
      </c>
      <c r="M94" t="s">
        <v>50</v>
      </c>
      <c r="N94">
        <v>22</v>
      </c>
      <c r="O94">
        <v>35.08</v>
      </c>
      <c r="P94">
        <v>7</v>
      </c>
      <c r="Q94" t="s">
        <v>28</v>
      </c>
      <c r="R94">
        <v>6</v>
      </c>
      <c r="S94" t="s">
        <v>91</v>
      </c>
      <c r="T94">
        <v>8.1999999999999993</v>
      </c>
      <c r="U94" t="s">
        <v>28</v>
      </c>
      <c r="V94" t="s">
        <v>51</v>
      </c>
    </row>
    <row r="95" spans="1:22" x14ac:dyDescent="0.3">
      <c r="A95" t="s">
        <v>211</v>
      </c>
      <c r="B95">
        <v>2026</v>
      </c>
      <c r="C95" t="s">
        <v>84</v>
      </c>
      <c r="D95" t="s">
        <v>59</v>
      </c>
      <c r="E95" t="s">
        <v>36</v>
      </c>
      <c r="F95" t="s">
        <v>120</v>
      </c>
      <c r="G95" t="s">
        <v>27</v>
      </c>
      <c r="H95" t="s">
        <v>39</v>
      </c>
      <c r="I95" t="s">
        <v>71</v>
      </c>
      <c r="J95">
        <v>88</v>
      </c>
      <c r="K95">
        <v>22.7</v>
      </c>
      <c r="L95">
        <v>31.8</v>
      </c>
      <c r="M95" t="s">
        <v>50</v>
      </c>
      <c r="N95">
        <v>24</v>
      </c>
      <c r="O95">
        <v>240.92</v>
      </c>
      <c r="P95">
        <v>8</v>
      </c>
      <c r="Q95" t="s">
        <v>31</v>
      </c>
      <c r="R95">
        <v>7</v>
      </c>
      <c r="S95" t="s">
        <v>91</v>
      </c>
      <c r="T95">
        <v>7.5</v>
      </c>
      <c r="U95" t="s">
        <v>28</v>
      </c>
      <c r="V95" t="s">
        <v>32</v>
      </c>
    </row>
    <row r="96" spans="1:22" x14ac:dyDescent="0.3">
      <c r="A96" t="s">
        <v>212</v>
      </c>
      <c r="B96">
        <v>2025</v>
      </c>
      <c r="C96" t="s">
        <v>104</v>
      </c>
      <c r="D96" t="s">
        <v>59</v>
      </c>
      <c r="E96" t="s">
        <v>25</v>
      </c>
      <c r="F96" t="s">
        <v>60</v>
      </c>
      <c r="G96" t="s">
        <v>38</v>
      </c>
      <c r="H96" t="s">
        <v>39</v>
      </c>
      <c r="I96" t="s">
        <v>61</v>
      </c>
      <c r="J96">
        <v>27</v>
      </c>
      <c r="K96">
        <v>4.3</v>
      </c>
      <c r="L96">
        <v>12.2</v>
      </c>
      <c r="M96" t="s">
        <v>50</v>
      </c>
      <c r="N96">
        <v>-8</v>
      </c>
      <c r="O96">
        <v>90.1</v>
      </c>
      <c r="P96">
        <v>7</v>
      </c>
      <c r="Q96" t="s">
        <v>39</v>
      </c>
      <c r="R96">
        <v>6</v>
      </c>
      <c r="S96" t="s">
        <v>28</v>
      </c>
      <c r="T96">
        <v>7.2</v>
      </c>
      <c r="U96" t="s">
        <v>31</v>
      </c>
      <c r="V96" t="s">
        <v>32</v>
      </c>
    </row>
    <row r="97" spans="1:22" x14ac:dyDescent="0.3">
      <c r="A97" t="s">
        <v>213</v>
      </c>
      <c r="B97">
        <v>2026</v>
      </c>
      <c r="C97" t="s">
        <v>117</v>
      </c>
      <c r="D97" t="s">
        <v>24</v>
      </c>
      <c r="E97" t="s">
        <v>82</v>
      </c>
      <c r="F97" t="s">
        <v>60</v>
      </c>
      <c r="G97" t="s">
        <v>27</v>
      </c>
      <c r="H97" t="s">
        <v>28</v>
      </c>
      <c r="I97" t="s">
        <v>71</v>
      </c>
      <c r="J97">
        <v>20</v>
      </c>
      <c r="K97">
        <v>6.3</v>
      </c>
      <c r="L97">
        <v>16.899999999999999</v>
      </c>
      <c r="M97">
        <v>0</v>
      </c>
      <c r="N97">
        <v>28</v>
      </c>
      <c r="O97">
        <v>99.96</v>
      </c>
      <c r="P97">
        <v>6</v>
      </c>
      <c r="Q97" t="s">
        <v>31</v>
      </c>
      <c r="R97">
        <v>5</v>
      </c>
      <c r="S97" t="s">
        <v>31</v>
      </c>
      <c r="T97">
        <v>9.6</v>
      </c>
      <c r="U97" t="s">
        <v>31</v>
      </c>
      <c r="V97" t="s">
        <v>32</v>
      </c>
    </row>
    <row r="98" spans="1:22" x14ac:dyDescent="0.3">
      <c r="A98" t="s">
        <v>214</v>
      </c>
      <c r="B98">
        <v>2025</v>
      </c>
      <c r="C98" t="s">
        <v>134</v>
      </c>
      <c r="D98" t="s">
        <v>69</v>
      </c>
      <c r="E98" t="s">
        <v>25</v>
      </c>
      <c r="F98" t="s">
        <v>132</v>
      </c>
      <c r="G98" t="s">
        <v>55</v>
      </c>
      <c r="H98" t="s">
        <v>31</v>
      </c>
      <c r="I98" t="s">
        <v>65</v>
      </c>
      <c r="J98">
        <v>10</v>
      </c>
      <c r="K98">
        <v>2.9</v>
      </c>
      <c r="L98">
        <v>6.7</v>
      </c>
      <c r="M98" t="s">
        <v>30</v>
      </c>
      <c r="N98">
        <v>11</v>
      </c>
      <c r="O98">
        <v>32.74</v>
      </c>
      <c r="P98">
        <v>4</v>
      </c>
      <c r="Q98" t="s">
        <v>28</v>
      </c>
      <c r="R98">
        <v>6</v>
      </c>
      <c r="S98" t="s">
        <v>31</v>
      </c>
      <c r="T98">
        <v>15.2</v>
      </c>
      <c r="U98" t="s">
        <v>31</v>
      </c>
      <c r="V98" t="s">
        <v>51</v>
      </c>
    </row>
    <row r="99" spans="1:22" x14ac:dyDescent="0.3">
      <c r="A99" t="s">
        <v>215</v>
      </c>
      <c r="B99">
        <v>2025</v>
      </c>
      <c r="C99" t="s">
        <v>34</v>
      </c>
      <c r="D99" t="s">
        <v>59</v>
      </c>
      <c r="E99" t="s">
        <v>82</v>
      </c>
      <c r="F99" t="s">
        <v>75</v>
      </c>
      <c r="G99" t="s">
        <v>55</v>
      </c>
      <c r="H99" t="s">
        <v>28</v>
      </c>
      <c r="I99" t="s">
        <v>49</v>
      </c>
      <c r="J99">
        <v>77</v>
      </c>
      <c r="K99">
        <v>21.2</v>
      </c>
      <c r="L99">
        <v>20.6</v>
      </c>
      <c r="M99" t="s">
        <v>50</v>
      </c>
      <c r="N99">
        <v>28</v>
      </c>
      <c r="O99">
        <v>41.9</v>
      </c>
      <c r="P99">
        <v>8</v>
      </c>
      <c r="Q99" t="s">
        <v>31</v>
      </c>
      <c r="R99">
        <v>6</v>
      </c>
      <c r="S99" t="s">
        <v>91</v>
      </c>
      <c r="T99">
        <v>11.8</v>
      </c>
      <c r="U99" t="s">
        <v>41</v>
      </c>
      <c r="V99" t="s">
        <v>32</v>
      </c>
    </row>
    <row r="100" spans="1:22" x14ac:dyDescent="0.3">
      <c r="A100" t="s">
        <v>216</v>
      </c>
      <c r="B100">
        <v>2025</v>
      </c>
      <c r="C100" t="s">
        <v>217</v>
      </c>
      <c r="D100" t="s">
        <v>81</v>
      </c>
      <c r="E100" t="s">
        <v>86</v>
      </c>
      <c r="F100" t="s">
        <v>98</v>
      </c>
      <c r="G100" t="s">
        <v>27</v>
      </c>
      <c r="H100" t="s">
        <v>28</v>
      </c>
      <c r="I100" t="s">
        <v>90</v>
      </c>
      <c r="J100">
        <v>44</v>
      </c>
      <c r="K100">
        <v>5.8</v>
      </c>
      <c r="L100">
        <v>0.3</v>
      </c>
      <c r="M100" t="s">
        <v>30</v>
      </c>
      <c r="N100">
        <v>9</v>
      </c>
      <c r="O100">
        <v>34.15</v>
      </c>
      <c r="P100">
        <v>6</v>
      </c>
      <c r="Q100" t="s">
        <v>28</v>
      </c>
      <c r="R100">
        <v>0</v>
      </c>
      <c r="S100" t="s">
        <v>31</v>
      </c>
      <c r="T100">
        <v>7.2</v>
      </c>
      <c r="U100" t="s">
        <v>31</v>
      </c>
      <c r="V100" t="s">
        <v>125</v>
      </c>
    </row>
    <row r="101" spans="1:22" x14ac:dyDescent="0.3">
      <c r="A101" t="s">
        <v>218</v>
      </c>
      <c r="B101">
        <v>2026</v>
      </c>
      <c r="C101" t="s">
        <v>134</v>
      </c>
      <c r="D101" t="s">
        <v>69</v>
      </c>
      <c r="E101" t="s">
        <v>25</v>
      </c>
      <c r="F101" t="s">
        <v>113</v>
      </c>
      <c r="G101" t="s">
        <v>55</v>
      </c>
      <c r="H101" t="s">
        <v>31</v>
      </c>
      <c r="I101" t="s">
        <v>71</v>
      </c>
      <c r="J101">
        <v>19</v>
      </c>
      <c r="K101">
        <v>1.9</v>
      </c>
      <c r="L101">
        <v>13.6</v>
      </c>
      <c r="M101" t="s">
        <v>30</v>
      </c>
      <c r="N101">
        <v>0</v>
      </c>
      <c r="O101">
        <v>83.16</v>
      </c>
      <c r="P101">
        <v>5</v>
      </c>
      <c r="Q101" t="s">
        <v>28</v>
      </c>
      <c r="R101">
        <v>6</v>
      </c>
      <c r="S101" t="s">
        <v>28</v>
      </c>
      <c r="T101">
        <v>11.4</v>
      </c>
      <c r="U101" t="s">
        <v>28</v>
      </c>
      <c r="V101" t="s">
        <v>51</v>
      </c>
    </row>
    <row r="102" spans="1:22" x14ac:dyDescent="0.3">
      <c r="A102" t="s">
        <v>219</v>
      </c>
      <c r="B102">
        <v>2026</v>
      </c>
      <c r="C102" t="s">
        <v>129</v>
      </c>
      <c r="D102" t="s">
        <v>59</v>
      </c>
      <c r="E102" t="s">
        <v>82</v>
      </c>
      <c r="F102" t="s">
        <v>220</v>
      </c>
      <c r="G102" t="s">
        <v>38</v>
      </c>
      <c r="H102" t="s">
        <v>39</v>
      </c>
      <c r="I102" t="s">
        <v>40</v>
      </c>
      <c r="J102">
        <v>43</v>
      </c>
      <c r="K102">
        <v>9.3000000000000007</v>
      </c>
      <c r="L102">
        <v>20.100000000000001</v>
      </c>
      <c r="M102" t="s">
        <v>30</v>
      </c>
      <c r="N102">
        <v>0</v>
      </c>
      <c r="O102">
        <v>86.94</v>
      </c>
      <c r="P102">
        <v>5</v>
      </c>
      <c r="Q102" t="s">
        <v>41</v>
      </c>
      <c r="R102">
        <v>7</v>
      </c>
      <c r="S102" t="s">
        <v>31</v>
      </c>
      <c r="T102">
        <v>7.6</v>
      </c>
      <c r="U102" t="s">
        <v>28</v>
      </c>
      <c r="V102" t="s">
        <v>32</v>
      </c>
    </row>
    <row r="103" spans="1:22" x14ac:dyDescent="0.3">
      <c r="A103" t="s">
        <v>221</v>
      </c>
      <c r="B103">
        <v>2026</v>
      </c>
      <c r="C103" t="s">
        <v>23</v>
      </c>
      <c r="D103" t="s">
        <v>59</v>
      </c>
      <c r="E103" t="s">
        <v>36</v>
      </c>
      <c r="F103" t="s">
        <v>37</v>
      </c>
      <c r="G103" t="s">
        <v>27</v>
      </c>
      <c r="H103" t="s">
        <v>31</v>
      </c>
      <c r="I103" t="s">
        <v>90</v>
      </c>
      <c r="J103">
        <v>22</v>
      </c>
      <c r="K103">
        <v>3.9</v>
      </c>
      <c r="L103">
        <v>2.1</v>
      </c>
      <c r="M103" t="s">
        <v>47</v>
      </c>
      <c r="N103">
        <v>12</v>
      </c>
      <c r="O103">
        <v>44.38</v>
      </c>
      <c r="P103">
        <v>7</v>
      </c>
      <c r="Q103" t="s">
        <v>41</v>
      </c>
      <c r="R103">
        <v>5</v>
      </c>
      <c r="S103" t="s">
        <v>31</v>
      </c>
      <c r="T103">
        <v>9.6999999999999993</v>
      </c>
      <c r="U103" t="s">
        <v>28</v>
      </c>
      <c r="V103" t="s">
        <v>32</v>
      </c>
    </row>
    <row r="104" spans="1:22" x14ac:dyDescent="0.3">
      <c r="A104" t="s">
        <v>222</v>
      </c>
      <c r="B104">
        <v>2025</v>
      </c>
      <c r="C104" t="s">
        <v>134</v>
      </c>
      <c r="D104" t="s">
        <v>69</v>
      </c>
      <c r="E104" t="s">
        <v>86</v>
      </c>
      <c r="F104" t="s">
        <v>113</v>
      </c>
      <c r="G104" t="s">
        <v>55</v>
      </c>
      <c r="H104" t="s">
        <v>28</v>
      </c>
      <c r="I104" t="s">
        <v>71</v>
      </c>
      <c r="J104">
        <v>42</v>
      </c>
      <c r="K104">
        <v>4.5999999999999996</v>
      </c>
      <c r="L104">
        <v>-9.5</v>
      </c>
      <c r="M104" t="s">
        <v>30</v>
      </c>
      <c r="N104">
        <v>3</v>
      </c>
      <c r="O104">
        <v>131.81</v>
      </c>
      <c r="P104">
        <v>4</v>
      </c>
      <c r="Q104" t="s">
        <v>28</v>
      </c>
      <c r="R104">
        <v>6</v>
      </c>
      <c r="S104" t="s">
        <v>41</v>
      </c>
      <c r="T104">
        <v>13.6</v>
      </c>
      <c r="U104" t="s">
        <v>28</v>
      </c>
      <c r="V104" t="s">
        <v>125</v>
      </c>
    </row>
    <row r="105" spans="1:22" x14ac:dyDescent="0.3">
      <c r="A105" t="s">
        <v>223</v>
      </c>
      <c r="B105">
        <v>2025</v>
      </c>
      <c r="C105" t="s">
        <v>196</v>
      </c>
      <c r="D105" t="s">
        <v>81</v>
      </c>
      <c r="E105" t="s">
        <v>82</v>
      </c>
      <c r="F105" t="s">
        <v>87</v>
      </c>
      <c r="G105" t="s">
        <v>27</v>
      </c>
      <c r="H105" t="s">
        <v>31</v>
      </c>
      <c r="I105" t="s">
        <v>90</v>
      </c>
      <c r="J105">
        <v>27</v>
      </c>
      <c r="K105">
        <v>3</v>
      </c>
      <c r="L105">
        <v>-5.8</v>
      </c>
      <c r="M105" t="s">
        <v>30</v>
      </c>
      <c r="N105">
        <v>36</v>
      </c>
      <c r="O105">
        <v>57.48</v>
      </c>
      <c r="P105">
        <v>6</v>
      </c>
      <c r="Q105" t="s">
        <v>28</v>
      </c>
      <c r="R105">
        <v>4</v>
      </c>
      <c r="S105" t="s">
        <v>31</v>
      </c>
      <c r="T105">
        <v>19.8</v>
      </c>
      <c r="U105" t="s">
        <v>41</v>
      </c>
      <c r="V105" t="s">
        <v>51</v>
      </c>
    </row>
    <row r="106" spans="1:22" x14ac:dyDescent="0.3">
      <c r="A106" t="s">
        <v>224</v>
      </c>
      <c r="B106">
        <v>2026</v>
      </c>
      <c r="C106" t="s">
        <v>134</v>
      </c>
      <c r="D106" t="s">
        <v>89</v>
      </c>
      <c r="E106" t="s">
        <v>82</v>
      </c>
      <c r="F106" t="s">
        <v>64</v>
      </c>
      <c r="G106" t="s">
        <v>38</v>
      </c>
      <c r="H106" t="s">
        <v>28</v>
      </c>
      <c r="I106" t="s">
        <v>71</v>
      </c>
      <c r="J106">
        <v>24</v>
      </c>
      <c r="K106">
        <v>18.899999999999999</v>
      </c>
      <c r="L106">
        <v>26.4</v>
      </c>
      <c r="M106" t="s">
        <v>47</v>
      </c>
      <c r="N106">
        <v>17</v>
      </c>
      <c r="O106">
        <v>113.02</v>
      </c>
      <c r="P106">
        <v>7</v>
      </c>
      <c r="Q106" t="s">
        <v>28</v>
      </c>
      <c r="R106">
        <v>7</v>
      </c>
      <c r="S106" t="s">
        <v>31</v>
      </c>
      <c r="T106">
        <v>6.9</v>
      </c>
      <c r="U106" t="s">
        <v>28</v>
      </c>
      <c r="V106" t="s">
        <v>32</v>
      </c>
    </row>
    <row r="107" spans="1:22" x14ac:dyDescent="0.3">
      <c r="A107" t="s">
        <v>225</v>
      </c>
      <c r="B107">
        <v>2026</v>
      </c>
      <c r="C107" t="s">
        <v>129</v>
      </c>
      <c r="D107" t="s">
        <v>81</v>
      </c>
      <c r="E107" t="s">
        <v>82</v>
      </c>
      <c r="F107" t="s">
        <v>37</v>
      </c>
      <c r="G107" t="s">
        <v>38</v>
      </c>
      <c r="H107" t="s">
        <v>39</v>
      </c>
      <c r="I107" t="s">
        <v>71</v>
      </c>
      <c r="J107">
        <v>63</v>
      </c>
      <c r="K107">
        <v>7.5</v>
      </c>
      <c r="L107">
        <v>15.5</v>
      </c>
      <c r="M107" t="s">
        <v>50</v>
      </c>
      <c r="N107">
        <v>18</v>
      </c>
      <c r="O107">
        <v>187.46</v>
      </c>
      <c r="P107">
        <v>7</v>
      </c>
      <c r="Q107" t="s">
        <v>28</v>
      </c>
      <c r="R107">
        <v>6</v>
      </c>
      <c r="S107" t="s">
        <v>91</v>
      </c>
      <c r="T107">
        <v>8.6999999999999993</v>
      </c>
      <c r="U107" t="s">
        <v>31</v>
      </c>
      <c r="V107" t="s">
        <v>32</v>
      </c>
    </row>
    <row r="108" spans="1:22" x14ac:dyDescent="0.3">
      <c r="A108" t="s">
        <v>226</v>
      </c>
      <c r="B108">
        <v>2025</v>
      </c>
      <c r="C108" t="s">
        <v>34</v>
      </c>
      <c r="D108" t="s">
        <v>24</v>
      </c>
      <c r="E108" t="s">
        <v>82</v>
      </c>
      <c r="F108" t="s">
        <v>60</v>
      </c>
      <c r="G108" t="s">
        <v>38</v>
      </c>
      <c r="H108" t="s">
        <v>31</v>
      </c>
      <c r="I108" t="s">
        <v>61</v>
      </c>
      <c r="J108">
        <v>26</v>
      </c>
      <c r="K108">
        <v>2.2000000000000002</v>
      </c>
      <c r="L108">
        <v>3.7</v>
      </c>
      <c r="M108" t="s">
        <v>30</v>
      </c>
      <c r="N108">
        <v>19</v>
      </c>
      <c r="O108">
        <v>50.19</v>
      </c>
      <c r="P108">
        <v>4</v>
      </c>
      <c r="Q108" t="s">
        <v>28</v>
      </c>
      <c r="R108">
        <v>7</v>
      </c>
      <c r="S108" t="s">
        <v>31</v>
      </c>
      <c r="T108">
        <v>7.6</v>
      </c>
      <c r="U108" t="s">
        <v>28</v>
      </c>
      <c r="V108" t="s">
        <v>51</v>
      </c>
    </row>
    <row r="109" spans="1:22" x14ac:dyDescent="0.3">
      <c r="A109" t="s">
        <v>227</v>
      </c>
      <c r="B109">
        <v>2026</v>
      </c>
      <c r="C109" t="s">
        <v>74</v>
      </c>
      <c r="D109" t="s">
        <v>81</v>
      </c>
      <c r="E109" t="s">
        <v>25</v>
      </c>
      <c r="F109" t="s">
        <v>37</v>
      </c>
      <c r="G109" t="s">
        <v>38</v>
      </c>
      <c r="H109" t="s">
        <v>39</v>
      </c>
      <c r="I109" t="s">
        <v>40</v>
      </c>
      <c r="J109">
        <v>30</v>
      </c>
      <c r="K109">
        <v>2.1</v>
      </c>
      <c r="L109">
        <v>7.8</v>
      </c>
      <c r="M109" t="s">
        <v>30</v>
      </c>
      <c r="N109">
        <v>0</v>
      </c>
      <c r="O109">
        <v>168.47</v>
      </c>
      <c r="P109">
        <v>5</v>
      </c>
      <c r="Q109" t="s">
        <v>31</v>
      </c>
      <c r="R109">
        <v>7</v>
      </c>
      <c r="S109" t="s">
        <v>28</v>
      </c>
      <c r="T109">
        <v>4.4000000000000004</v>
      </c>
      <c r="U109" t="s">
        <v>41</v>
      </c>
      <c r="V109" t="s">
        <v>32</v>
      </c>
    </row>
    <row r="110" spans="1:22" x14ac:dyDescent="0.3">
      <c r="A110" t="s">
        <v>228</v>
      </c>
      <c r="B110">
        <v>2026</v>
      </c>
      <c r="C110" t="s">
        <v>196</v>
      </c>
      <c r="D110" t="s">
        <v>81</v>
      </c>
      <c r="E110" t="s">
        <v>36</v>
      </c>
      <c r="F110" t="s">
        <v>120</v>
      </c>
      <c r="G110" t="s">
        <v>55</v>
      </c>
      <c r="H110" t="s">
        <v>31</v>
      </c>
      <c r="I110" t="s">
        <v>56</v>
      </c>
      <c r="J110">
        <v>54</v>
      </c>
      <c r="K110">
        <v>5.2</v>
      </c>
      <c r="L110">
        <v>26</v>
      </c>
      <c r="M110" t="s">
        <v>50</v>
      </c>
      <c r="N110">
        <v>6</v>
      </c>
      <c r="O110">
        <v>23.73</v>
      </c>
      <c r="P110">
        <v>6</v>
      </c>
      <c r="Q110" t="s">
        <v>28</v>
      </c>
      <c r="R110">
        <v>6</v>
      </c>
      <c r="S110" t="s">
        <v>28</v>
      </c>
      <c r="T110">
        <v>8.5</v>
      </c>
      <c r="U110" t="s">
        <v>31</v>
      </c>
      <c r="V110" t="s">
        <v>32</v>
      </c>
    </row>
    <row r="111" spans="1:22" x14ac:dyDescent="0.3">
      <c r="A111" t="s">
        <v>229</v>
      </c>
      <c r="B111">
        <v>2024</v>
      </c>
      <c r="C111" t="s">
        <v>23</v>
      </c>
      <c r="D111" t="s">
        <v>156</v>
      </c>
      <c r="E111" t="s">
        <v>82</v>
      </c>
      <c r="F111" t="s">
        <v>87</v>
      </c>
      <c r="G111" t="s">
        <v>38</v>
      </c>
      <c r="H111" t="s">
        <v>31</v>
      </c>
      <c r="I111" t="s">
        <v>90</v>
      </c>
      <c r="J111">
        <v>21</v>
      </c>
      <c r="K111">
        <v>2.2000000000000002</v>
      </c>
      <c r="L111">
        <v>5.8</v>
      </c>
      <c r="M111" t="s">
        <v>30</v>
      </c>
      <c r="N111">
        <v>5</v>
      </c>
      <c r="O111">
        <v>27.89</v>
      </c>
      <c r="P111">
        <v>4</v>
      </c>
      <c r="Q111" t="s">
        <v>39</v>
      </c>
      <c r="R111">
        <v>4</v>
      </c>
      <c r="S111" t="s">
        <v>41</v>
      </c>
      <c r="T111">
        <v>13.4</v>
      </c>
      <c r="U111" t="s">
        <v>31</v>
      </c>
      <c r="V111" t="s">
        <v>125</v>
      </c>
    </row>
    <row r="112" spans="1:22" x14ac:dyDescent="0.3">
      <c r="A112" t="s">
        <v>230</v>
      </c>
      <c r="B112">
        <v>2025</v>
      </c>
      <c r="C112" t="s">
        <v>74</v>
      </c>
      <c r="D112" t="s">
        <v>81</v>
      </c>
      <c r="E112" t="s">
        <v>82</v>
      </c>
      <c r="F112" t="s">
        <v>60</v>
      </c>
      <c r="G112" t="s">
        <v>38</v>
      </c>
      <c r="H112" t="s">
        <v>31</v>
      </c>
      <c r="I112" t="s">
        <v>61</v>
      </c>
      <c r="J112">
        <v>38</v>
      </c>
      <c r="K112">
        <v>4.2</v>
      </c>
      <c r="L112">
        <v>1.4</v>
      </c>
      <c r="M112" t="s">
        <v>50</v>
      </c>
      <c r="N112">
        <v>72</v>
      </c>
      <c r="O112">
        <v>29.85</v>
      </c>
      <c r="P112">
        <v>7</v>
      </c>
      <c r="Q112" t="s">
        <v>39</v>
      </c>
      <c r="R112">
        <v>5</v>
      </c>
      <c r="S112" t="s">
        <v>31</v>
      </c>
      <c r="T112">
        <v>16.399999999999999</v>
      </c>
      <c r="U112" t="s">
        <v>41</v>
      </c>
      <c r="V112" t="s">
        <v>51</v>
      </c>
    </row>
    <row r="113" spans="1:22" x14ac:dyDescent="0.3">
      <c r="A113" t="s">
        <v>231</v>
      </c>
      <c r="B113">
        <v>2025</v>
      </c>
      <c r="C113" t="s">
        <v>104</v>
      </c>
      <c r="D113" t="s">
        <v>81</v>
      </c>
      <c r="E113" t="s">
        <v>82</v>
      </c>
      <c r="F113" t="s">
        <v>37</v>
      </c>
      <c r="G113" t="s">
        <v>27</v>
      </c>
      <c r="H113" t="s">
        <v>28</v>
      </c>
      <c r="I113" t="s">
        <v>40</v>
      </c>
      <c r="J113">
        <v>10</v>
      </c>
      <c r="K113">
        <v>2.5</v>
      </c>
      <c r="L113">
        <v>-4.5</v>
      </c>
      <c r="M113" t="s">
        <v>47</v>
      </c>
      <c r="N113">
        <v>12</v>
      </c>
      <c r="O113">
        <v>92.34</v>
      </c>
      <c r="P113">
        <v>6</v>
      </c>
      <c r="Q113" t="s">
        <v>28</v>
      </c>
      <c r="R113">
        <v>4</v>
      </c>
      <c r="S113" t="s">
        <v>31</v>
      </c>
      <c r="T113">
        <v>19.7</v>
      </c>
      <c r="U113" t="s">
        <v>31</v>
      </c>
      <c r="V113" t="s">
        <v>125</v>
      </c>
    </row>
    <row r="114" spans="1:22" x14ac:dyDescent="0.3">
      <c r="A114" t="s">
        <v>232</v>
      </c>
      <c r="B114">
        <v>2025</v>
      </c>
      <c r="C114" t="s">
        <v>117</v>
      </c>
      <c r="D114" t="s">
        <v>81</v>
      </c>
      <c r="E114" t="s">
        <v>82</v>
      </c>
      <c r="F114" t="s">
        <v>64</v>
      </c>
      <c r="G114" t="s">
        <v>38</v>
      </c>
      <c r="H114" t="s">
        <v>28</v>
      </c>
      <c r="I114" t="s">
        <v>71</v>
      </c>
      <c r="J114">
        <v>35</v>
      </c>
      <c r="K114">
        <v>12.4</v>
      </c>
      <c r="L114">
        <v>28.8</v>
      </c>
      <c r="M114" t="s">
        <v>30</v>
      </c>
      <c r="N114">
        <v>25</v>
      </c>
      <c r="O114">
        <v>108.81</v>
      </c>
      <c r="P114">
        <v>7</v>
      </c>
      <c r="Q114" t="s">
        <v>28</v>
      </c>
      <c r="R114">
        <v>5</v>
      </c>
      <c r="S114" t="s">
        <v>31</v>
      </c>
      <c r="T114">
        <v>7.7</v>
      </c>
      <c r="U114" t="s">
        <v>39</v>
      </c>
      <c r="V114" t="s">
        <v>32</v>
      </c>
    </row>
    <row r="115" spans="1:22" x14ac:dyDescent="0.3">
      <c r="A115" t="s">
        <v>233</v>
      </c>
      <c r="B115">
        <v>2025</v>
      </c>
      <c r="C115" t="s">
        <v>129</v>
      </c>
      <c r="D115" t="s">
        <v>156</v>
      </c>
      <c r="E115" t="s">
        <v>25</v>
      </c>
      <c r="F115" t="s">
        <v>54</v>
      </c>
      <c r="G115" t="s">
        <v>38</v>
      </c>
      <c r="H115" t="s">
        <v>31</v>
      </c>
      <c r="I115" t="s">
        <v>71</v>
      </c>
      <c r="J115">
        <v>29</v>
      </c>
      <c r="K115">
        <v>11.1</v>
      </c>
      <c r="L115">
        <v>19.2</v>
      </c>
      <c r="M115" t="s">
        <v>30</v>
      </c>
      <c r="N115">
        <v>11</v>
      </c>
      <c r="O115">
        <v>232.51</v>
      </c>
      <c r="P115">
        <v>0</v>
      </c>
      <c r="Q115" t="s">
        <v>31</v>
      </c>
      <c r="R115">
        <v>6</v>
      </c>
      <c r="S115" t="s">
        <v>28</v>
      </c>
      <c r="T115">
        <v>7.7</v>
      </c>
      <c r="U115" t="s">
        <v>28</v>
      </c>
      <c r="V115" t="s">
        <v>32</v>
      </c>
    </row>
    <row r="116" spans="1:22" x14ac:dyDescent="0.3">
      <c r="A116" t="s">
        <v>234</v>
      </c>
      <c r="B116">
        <v>2024</v>
      </c>
      <c r="C116" t="s">
        <v>74</v>
      </c>
      <c r="D116" t="s">
        <v>69</v>
      </c>
      <c r="E116" t="s">
        <v>86</v>
      </c>
      <c r="F116" t="s">
        <v>37</v>
      </c>
      <c r="G116" t="s">
        <v>55</v>
      </c>
      <c r="H116" t="s">
        <v>31</v>
      </c>
      <c r="I116" t="s">
        <v>40</v>
      </c>
      <c r="J116">
        <v>8</v>
      </c>
      <c r="K116">
        <v>3.6</v>
      </c>
      <c r="L116">
        <v>14.2</v>
      </c>
      <c r="M116" t="s">
        <v>47</v>
      </c>
      <c r="N116">
        <v>7</v>
      </c>
      <c r="O116">
        <v>106.95</v>
      </c>
      <c r="P116">
        <v>9</v>
      </c>
      <c r="Q116" t="s">
        <v>41</v>
      </c>
      <c r="R116">
        <v>5</v>
      </c>
      <c r="S116" t="s">
        <v>41</v>
      </c>
      <c r="T116">
        <v>5.8</v>
      </c>
      <c r="U116" t="s">
        <v>31</v>
      </c>
      <c r="V116" t="s">
        <v>72</v>
      </c>
    </row>
    <row r="117" spans="1:22" x14ac:dyDescent="0.3">
      <c r="A117" t="s">
        <v>235</v>
      </c>
      <c r="B117">
        <v>2026</v>
      </c>
      <c r="C117" t="s">
        <v>53</v>
      </c>
      <c r="D117" t="s">
        <v>81</v>
      </c>
      <c r="E117" t="s">
        <v>82</v>
      </c>
      <c r="F117" t="s">
        <v>87</v>
      </c>
      <c r="G117" t="s">
        <v>45</v>
      </c>
      <c r="H117" t="s">
        <v>28</v>
      </c>
      <c r="I117" t="s">
        <v>90</v>
      </c>
      <c r="J117">
        <v>36</v>
      </c>
      <c r="K117">
        <v>3.7</v>
      </c>
      <c r="L117">
        <v>10.5</v>
      </c>
      <c r="M117" t="s">
        <v>50</v>
      </c>
      <c r="N117">
        <v>7</v>
      </c>
      <c r="O117">
        <v>23.78</v>
      </c>
      <c r="P117">
        <v>6</v>
      </c>
      <c r="Q117" t="s">
        <v>31</v>
      </c>
      <c r="R117">
        <v>10</v>
      </c>
      <c r="S117" t="s">
        <v>91</v>
      </c>
      <c r="T117">
        <v>5.8</v>
      </c>
      <c r="U117" t="s">
        <v>28</v>
      </c>
      <c r="V117" t="s">
        <v>32</v>
      </c>
    </row>
    <row r="118" spans="1:22" x14ac:dyDescent="0.3">
      <c r="A118" t="s">
        <v>236</v>
      </c>
      <c r="B118">
        <v>2026</v>
      </c>
      <c r="C118" t="s">
        <v>80</v>
      </c>
      <c r="D118" t="s">
        <v>63</v>
      </c>
      <c r="E118" t="s">
        <v>36</v>
      </c>
      <c r="F118" t="s">
        <v>37</v>
      </c>
      <c r="G118" t="s">
        <v>27</v>
      </c>
      <c r="H118" t="s">
        <v>28</v>
      </c>
      <c r="I118" t="s">
        <v>71</v>
      </c>
      <c r="J118">
        <v>119</v>
      </c>
      <c r="K118">
        <v>26</v>
      </c>
      <c r="L118">
        <v>41</v>
      </c>
      <c r="M118" t="s">
        <v>144</v>
      </c>
      <c r="N118">
        <v>28</v>
      </c>
      <c r="O118">
        <v>242.25</v>
      </c>
      <c r="P118">
        <v>9</v>
      </c>
      <c r="Q118" t="s">
        <v>31</v>
      </c>
      <c r="R118">
        <v>7</v>
      </c>
      <c r="S118" t="s">
        <v>91</v>
      </c>
      <c r="T118">
        <v>8.6999999999999993</v>
      </c>
      <c r="U118" t="s">
        <v>31</v>
      </c>
      <c r="V118" t="s">
        <v>72</v>
      </c>
    </row>
    <row r="119" spans="1:22" x14ac:dyDescent="0.3">
      <c r="A119" t="s">
        <v>237</v>
      </c>
      <c r="B119">
        <v>2026</v>
      </c>
      <c r="C119" t="s">
        <v>74</v>
      </c>
      <c r="D119" t="s">
        <v>102</v>
      </c>
      <c r="E119" t="s">
        <v>86</v>
      </c>
      <c r="F119" t="s">
        <v>87</v>
      </c>
      <c r="G119" t="s">
        <v>55</v>
      </c>
      <c r="H119" t="s">
        <v>28</v>
      </c>
      <c r="I119" t="s">
        <v>71</v>
      </c>
      <c r="J119">
        <v>66</v>
      </c>
      <c r="K119">
        <v>8.9</v>
      </c>
      <c r="L119">
        <v>2.7</v>
      </c>
      <c r="M119" t="s">
        <v>50</v>
      </c>
      <c r="N119">
        <v>0</v>
      </c>
      <c r="O119">
        <v>122.56</v>
      </c>
      <c r="P119">
        <v>7</v>
      </c>
      <c r="Q119" t="s">
        <v>28</v>
      </c>
      <c r="R119">
        <v>6</v>
      </c>
      <c r="S119" t="s">
        <v>28</v>
      </c>
      <c r="T119">
        <v>17.600000000000001</v>
      </c>
      <c r="U119" t="s">
        <v>28</v>
      </c>
      <c r="V119" t="s">
        <v>51</v>
      </c>
    </row>
    <row r="120" spans="1:22" hidden="1" x14ac:dyDescent="0.3">
      <c r="A120" t="s">
        <v>238</v>
      </c>
      <c r="B120">
        <v>2026</v>
      </c>
      <c r="C120" t="s">
        <v>23</v>
      </c>
      <c r="D120" t="s">
        <v>35</v>
      </c>
      <c r="E120" t="s">
        <v>82</v>
      </c>
      <c r="F120" t="s">
        <v>87</v>
      </c>
      <c r="G120" t="s">
        <v>27</v>
      </c>
      <c r="H120" t="s">
        <v>28</v>
      </c>
      <c r="I120" t="s">
        <v>46</v>
      </c>
      <c r="J120">
        <v>112</v>
      </c>
      <c r="K120">
        <v>26</v>
      </c>
      <c r="L120">
        <v>42.6</v>
      </c>
      <c r="M120" t="s">
        <v>144</v>
      </c>
      <c r="N120">
        <v>71</v>
      </c>
      <c r="O120">
        <v>83.71</v>
      </c>
      <c r="P120">
        <v>9</v>
      </c>
      <c r="Q120" t="s">
        <v>41</v>
      </c>
      <c r="R120">
        <v>8</v>
      </c>
      <c r="S120" t="s">
        <v>28</v>
      </c>
      <c r="U120" t="s">
        <v>41</v>
      </c>
      <c r="V120" t="s">
        <v>72</v>
      </c>
    </row>
    <row r="121" spans="1:22" x14ac:dyDescent="0.3">
      <c r="A121" t="s">
        <v>239</v>
      </c>
      <c r="B121">
        <v>2025</v>
      </c>
      <c r="C121" t="s">
        <v>53</v>
      </c>
      <c r="D121" t="s">
        <v>24</v>
      </c>
      <c r="E121" t="s">
        <v>25</v>
      </c>
      <c r="F121" t="s">
        <v>132</v>
      </c>
      <c r="G121" t="s">
        <v>45</v>
      </c>
      <c r="H121" t="s">
        <v>31</v>
      </c>
      <c r="I121" t="s">
        <v>65</v>
      </c>
      <c r="J121">
        <v>8</v>
      </c>
      <c r="K121">
        <v>2.8</v>
      </c>
      <c r="L121">
        <v>7.9</v>
      </c>
      <c r="M121" t="s">
        <v>30</v>
      </c>
      <c r="N121">
        <v>335</v>
      </c>
      <c r="O121">
        <v>157.63999999999999</v>
      </c>
      <c r="P121">
        <v>6</v>
      </c>
      <c r="Q121" t="s">
        <v>39</v>
      </c>
      <c r="R121">
        <v>6</v>
      </c>
      <c r="S121" t="s">
        <v>31</v>
      </c>
      <c r="T121">
        <v>10.9</v>
      </c>
      <c r="U121" t="s">
        <v>31</v>
      </c>
      <c r="V121" t="s">
        <v>32</v>
      </c>
    </row>
    <row r="122" spans="1:22" x14ac:dyDescent="0.3">
      <c r="A122" t="s">
        <v>240</v>
      </c>
      <c r="B122">
        <v>2024</v>
      </c>
      <c r="C122" t="s">
        <v>53</v>
      </c>
      <c r="D122" t="s">
        <v>89</v>
      </c>
      <c r="E122" t="s">
        <v>82</v>
      </c>
      <c r="F122" t="s">
        <v>37</v>
      </c>
      <c r="G122" t="s">
        <v>55</v>
      </c>
      <c r="H122" t="s">
        <v>31</v>
      </c>
      <c r="I122" t="s">
        <v>241</v>
      </c>
      <c r="J122">
        <v>13</v>
      </c>
      <c r="K122">
        <v>5.2</v>
      </c>
      <c r="L122">
        <v>12.4</v>
      </c>
      <c r="M122" t="s">
        <v>30</v>
      </c>
      <c r="N122">
        <v>0</v>
      </c>
      <c r="O122">
        <v>54.12</v>
      </c>
      <c r="P122">
        <v>7</v>
      </c>
      <c r="Q122" t="s">
        <v>41</v>
      </c>
      <c r="R122">
        <v>4</v>
      </c>
      <c r="S122" t="s">
        <v>31</v>
      </c>
      <c r="T122">
        <v>9.6999999999999993</v>
      </c>
      <c r="U122" t="s">
        <v>31</v>
      </c>
      <c r="V122" t="s">
        <v>72</v>
      </c>
    </row>
    <row r="123" spans="1:22" x14ac:dyDescent="0.3">
      <c r="A123" t="s">
        <v>242</v>
      </c>
      <c r="B123">
        <v>2025</v>
      </c>
      <c r="C123" t="s">
        <v>34</v>
      </c>
      <c r="D123" t="s">
        <v>59</v>
      </c>
      <c r="E123" t="s">
        <v>25</v>
      </c>
      <c r="F123" t="s">
        <v>37</v>
      </c>
      <c r="G123">
        <v>0</v>
      </c>
      <c r="H123" t="s">
        <v>28</v>
      </c>
      <c r="I123" t="s">
        <v>90</v>
      </c>
      <c r="J123">
        <v>39</v>
      </c>
      <c r="K123">
        <v>6.7</v>
      </c>
      <c r="L123">
        <v>14</v>
      </c>
      <c r="M123" t="s">
        <v>30</v>
      </c>
      <c r="N123">
        <v>8</v>
      </c>
      <c r="O123">
        <v>82.26</v>
      </c>
      <c r="P123">
        <v>7</v>
      </c>
      <c r="Q123" t="s">
        <v>31</v>
      </c>
      <c r="R123">
        <v>5</v>
      </c>
      <c r="S123" t="s">
        <v>31</v>
      </c>
      <c r="T123">
        <v>9.3000000000000007</v>
      </c>
      <c r="U123" t="s">
        <v>31</v>
      </c>
      <c r="V123" t="s">
        <v>32</v>
      </c>
    </row>
    <row r="124" spans="1:22" x14ac:dyDescent="0.3">
      <c r="A124" t="s">
        <v>243</v>
      </c>
      <c r="B124">
        <v>2026</v>
      </c>
      <c r="C124" t="s">
        <v>101</v>
      </c>
      <c r="D124" t="s">
        <v>102</v>
      </c>
      <c r="E124" t="s">
        <v>86</v>
      </c>
      <c r="F124" t="s">
        <v>141</v>
      </c>
      <c r="G124" t="s">
        <v>55</v>
      </c>
      <c r="H124" t="s">
        <v>28</v>
      </c>
      <c r="I124" t="s">
        <v>49</v>
      </c>
      <c r="J124">
        <v>40</v>
      </c>
      <c r="K124">
        <v>8.1</v>
      </c>
      <c r="L124">
        <v>14.3</v>
      </c>
      <c r="M124" t="s">
        <v>30</v>
      </c>
      <c r="N124">
        <v>25</v>
      </c>
      <c r="O124">
        <v>38.590000000000003</v>
      </c>
      <c r="P124">
        <v>8</v>
      </c>
      <c r="Q124" t="s">
        <v>31</v>
      </c>
      <c r="R124">
        <v>7</v>
      </c>
      <c r="S124" t="s">
        <v>28</v>
      </c>
      <c r="T124">
        <v>8.6999999999999993</v>
      </c>
      <c r="U124" t="s">
        <v>31</v>
      </c>
      <c r="V124" t="s">
        <v>32</v>
      </c>
    </row>
    <row r="125" spans="1:22" x14ac:dyDescent="0.3">
      <c r="A125" t="s">
        <v>244</v>
      </c>
      <c r="B125">
        <v>2024</v>
      </c>
      <c r="C125" t="s">
        <v>104</v>
      </c>
      <c r="D125" t="s">
        <v>24</v>
      </c>
      <c r="E125" t="s">
        <v>25</v>
      </c>
      <c r="F125" t="s">
        <v>37</v>
      </c>
      <c r="G125" t="s">
        <v>38</v>
      </c>
      <c r="H125" t="s">
        <v>31</v>
      </c>
      <c r="I125" t="s">
        <v>40</v>
      </c>
      <c r="J125">
        <v>16</v>
      </c>
      <c r="K125">
        <v>5</v>
      </c>
      <c r="L125">
        <v>-0.5</v>
      </c>
      <c r="M125" t="s">
        <v>30</v>
      </c>
      <c r="N125">
        <v>17</v>
      </c>
      <c r="O125">
        <v>139.22</v>
      </c>
      <c r="P125">
        <v>6</v>
      </c>
      <c r="Q125" t="s">
        <v>39</v>
      </c>
      <c r="R125">
        <v>4</v>
      </c>
      <c r="S125" t="s">
        <v>31</v>
      </c>
      <c r="T125">
        <v>8.6</v>
      </c>
      <c r="U125" t="s">
        <v>31</v>
      </c>
      <c r="V125" t="s">
        <v>51</v>
      </c>
    </row>
    <row r="126" spans="1:22" x14ac:dyDescent="0.3">
      <c r="A126" t="s">
        <v>245</v>
      </c>
      <c r="B126">
        <v>2025</v>
      </c>
      <c r="C126" t="s">
        <v>101</v>
      </c>
      <c r="D126" t="s">
        <v>156</v>
      </c>
      <c r="E126" t="s">
        <v>36</v>
      </c>
      <c r="F126" t="s">
        <v>75</v>
      </c>
      <c r="G126" t="s">
        <v>38</v>
      </c>
      <c r="H126" t="s">
        <v>41</v>
      </c>
      <c r="I126" t="s">
        <v>49</v>
      </c>
      <c r="J126">
        <v>3</v>
      </c>
      <c r="K126">
        <v>0.2</v>
      </c>
      <c r="L126">
        <v>-8.1</v>
      </c>
      <c r="M126" t="s">
        <v>47</v>
      </c>
      <c r="N126">
        <v>12</v>
      </c>
      <c r="O126">
        <v>15.2</v>
      </c>
      <c r="P126">
        <v>5</v>
      </c>
      <c r="Q126" t="s">
        <v>39</v>
      </c>
      <c r="R126">
        <v>3</v>
      </c>
      <c r="S126" t="s">
        <v>41</v>
      </c>
      <c r="T126">
        <v>17</v>
      </c>
      <c r="U126" t="s">
        <v>31</v>
      </c>
      <c r="V126" t="s">
        <v>125</v>
      </c>
    </row>
    <row r="127" spans="1:22" x14ac:dyDescent="0.3">
      <c r="A127" t="s">
        <v>246</v>
      </c>
      <c r="B127">
        <v>2026</v>
      </c>
      <c r="C127" t="s">
        <v>196</v>
      </c>
      <c r="D127" t="s">
        <v>85</v>
      </c>
      <c r="E127" t="s">
        <v>86</v>
      </c>
      <c r="F127" t="s">
        <v>87</v>
      </c>
      <c r="G127" t="s">
        <v>55</v>
      </c>
      <c r="H127" t="s">
        <v>41</v>
      </c>
      <c r="I127" t="s">
        <v>56</v>
      </c>
      <c r="J127">
        <v>8</v>
      </c>
      <c r="K127">
        <v>1.2</v>
      </c>
      <c r="L127">
        <v>10.199999999999999</v>
      </c>
      <c r="M127" t="s">
        <v>30</v>
      </c>
      <c r="N127">
        <v>22</v>
      </c>
      <c r="O127">
        <v>7.37</v>
      </c>
      <c r="P127">
        <v>6</v>
      </c>
      <c r="Q127" t="s">
        <v>28</v>
      </c>
      <c r="R127">
        <v>8</v>
      </c>
      <c r="S127" t="s">
        <v>31</v>
      </c>
      <c r="T127">
        <v>8.1999999999999993</v>
      </c>
      <c r="U127" t="s">
        <v>41</v>
      </c>
      <c r="V127" t="s">
        <v>32</v>
      </c>
    </row>
    <row r="128" spans="1:22" x14ac:dyDescent="0.3">
      <c r="A128" t="s">
        <v>247</v>
      </c>
      <c r="B128">
        <v>2026</v>
      </c>
      <c r="C128" t="s">
        <v>74</v>
      </c>
      <c r="D128" t="s">
        <v>81</v>
      </c>
      <c r="E128" t="s">
        <v>36</v>
      </c>
      <c r="F128" t="s">
        <v>64</v>
      </c>
      <c r="G128" t="s">
        <v>38</v>
      </c>
      <c r="H128" t="s">
        <v>31</v>
      </c>
      <c r="I128" t="s">
        <v>65</v>
      </c>
      <c r="J128">
        <v>22</v>
      </c>
      <c r="K128">
        <v>6.6</v>
      </c>
      <c r="L128">
        <v>9</v>
      </c>
      <c r="M128" t="s">
        <v>30</v>
      </c>
      <c r="N128">
        <v>39</v>
      </c>
      <c r="O128">
        <v>71.16</v>
      </c>
      <c r="P128">
        <v>5</v>
      </c>
      <c r="Q128" t="s">
        <v>39</v>
      </c>
      <c r="R128">
        <v>8</v>
      </c>
      <c r="S128" t="s">
        <v>28</v>
      </c>
      <c r="T128">
        <v>6.4</v>
      </c>
      <c r="U128" t="s">
        <v>41</v>
      </c>
      <c r="V128" t="s">
        <v>32</v>
      </c>
    </row>
    <row r="129" spans="1:22" x14ac:dyDescent="0.3">
      <c r="A129" t="s">
        <v>248</v>
      </c>
      <c r="B129">
        <v>2026</v>
      </c>
      <c r="C129" t="s">
        <v>196</v>
      </c>
      <c r="D129" t="s">
        <v>69</v>
      </c>
      <c r="E129" t="s">
        <v>36</v>
      </c>
      <c r="F129" t="s">
        <v>64</v>
      </c>
      <c r="G129" t="s">
        <v>27</v>
      </c>
      <c r="H129" t="s">
        <v>41</v>
      </c>
      <c r="I129" t="s">
        <v>71</v>
      </c>
      <c r="J129">
        <v>15</v>
      </c>
      <c r="K129">
        <v>1.9</v>
      </c>
      <c r="L129">
        <v>-4.4000000000000004</v>
      </c>
      <c r="M129" t="s">
        <v>47</v>
      </c>
      <c r="N129">
        <v>17</v>
      </c>
      <c r="O129">
        <v>28.82</v>
      </c>
      <c r="P129">
        <v>7</v>
      </c>
      <c r="Q129" t="s">
        <v>28</v>
      </c>
      <c r="R129">
        <v>2</v>
      </c>
      <c r="S129" t="s">
        <v>41</v>
      </c>
      <c r="T129">
        <v>8.3000000000000007</v>
      </c>
      <c r="U129" t="s">
        <v>41</v>
      </c>
      <c r="V129" t="s">
        <v>32</v>
      </c>
    </row>
    <row r="130" spans="1:22" x14ac:dyDescent="0.3">
      <c r="A130" t="s">
        <v>249</v>
      </c>
      <c r="B130">
        <v>2026</v>
      </c>
      <c r="C130" t="s">
        <v>74</v>
      </c>
      <c r="D130" t="s">
        <v>89</v>
      </c>
      <c r="E130" t="s">
        <v>25</v>
      </c>
      <c r="F130" t="s">
        <v>120</v>
      </c>
      <c r="G130" t="s">
        <v>55</v>
      </c>
      <c r="H130" t="s">
        <v>39</v>
      </c>
      <c r="I130" t="s">
        <v>56</v>
      </c>
      <c r="J130">
        <v>42</v>
      </c>
      <c r="K130">
        <v>8.5</v>
      </c>
      <c r="L130">
        <v>5.3</v>
      </c>
      <c r="M130" t="s">
        <v>50</v>
      </c>
      <c r="N130">
        <v>24</v>
      </c>
      <c r="O130">
        <v>53.06</v>
      </c>
      <c r="P130">
        <v>6</v>
      </c>
      <c r="Q130" t="s">
        <v>31</v>
      </c>
      <c r="R130">
        <v>6</v>
      </c>
      <c r="S130" t="s">
        <v>28</v>
      </c>
      <c r="T130">
        <v>8.8000000000000007</v>
      </c>
      <c r="U130" t="s">
        <v>39</v>
      </c>
      <c r="V130" t="s">
        <v>51</v>
      </c>
    </row>
    <row r="131" spans="1:22" x14ac:dyDescent="0.3">
      <c r="A131" t="s">
        <v>250</v>
      </c>
      <c r="B131">
        <v>2026</v>
      </c>
      <c r="C131" t="s">
        <v>23</v>
      </c>
      <c r="D131" t="s">
        <v>81</v>
      </c>
      <c r="E131" t="s">
        <v>86</v>
      </c>
      <c r="F131" t="s">
        <v>37</v>
      </c>
      <c r="G131" t="s">
        <v>76</v>
      </c>
      <c r="H131" t="s">
        <v>28</v>
      </c>
      <c r="I131" t="s">
        <v>40</v>
      </c>
      <c r="J131">
        <v>28</v>
      </c>
      <c r="K131">
        <v>14.9</v>
      </c>
      <c r="L131">
        <v>34</v>
      </c>
      <c r="M131" t="s">
        <v>50</v>
      </c>
      <c r="N131">
        <v>0</v>
      </c>
      <c r="O131">
        <v>59.33</v>
      </c>
      <c r="P131">
        <v>8</v>
      </c>
      <c r="Q131" t="s">
        <v>31</v>
      </c>
      <c r="R131">
        <v>6</v>
      </c>
      <c r="S131" t="s">
        <v>28</v>
      </c>
      <c r="T131">
        <v>3.9</v>
      </c>
      <c r="U131" t="s">
        <v>31</v>
      </c>
      <c r="V131" t="s">
        <v>72</v>
      </c>
    </row>
    <row r="132" spans="1:22" x14ac:dyDescent="0.3">
      <c r="A132" t="s">
        <v>251</v>
      </c>
      <c r="B132">
        <v>2024</v>
      </c>
      <c r="C132" t="s">
        <v>74</v>
      </c>
      <c r="D132" t="s">
        <v>43</v>
      </c>
      <c r="E132" t="s">
        <v>36</v>
      </c>
      <c r="F132" t="s">
        <v>37</v>
      </c>
      <c r="G132" t="s">
        <v>27</v>
      </c>
      <c r="H132" t="s">
        <v>41</v>
      </c>
      <c r="I132" t="s">
        <v>40</v>
      </c>
      <c r="J132">
        <v>3</v>
      </c>
      <c r="K132">
        <v>1.2</v>
      </c>
      <c r="L132">
        <v>13.8</v>
      </c>
      <c r="M132" t="s">
        <v>47</v>
      </c>
      <c r="N132">
        <v>8</v>
      </c>
      <c r="O132">
        <v>18.25</v>
      </c>
      <c r="P132">
        <v>8</v>
      </c>
      <c r="Q132" t="s">
        <v>31</v>
      </c>
      <c r="R132">
        <v>4</v>
      </c>
      <c r="S132" t="s">
        <v>41</v>
      </c>
      <c r="T132">
        <v>6.6</v>
      </c>
      <c r="U132" t="s">
        <v>31</v>
      </c>
      <c r="V132" t="s">
        <v>32</v>
      </c>
    </row>
    <row r="133" spans="1:22" hidden="1" x14ac:dyDescent="0.3">
      <c r="A133" t="s">
        <v>252</v>
      </c>
      <c r="B133">
        <v>2024</v>
      </c>
      <c r="C133" t="s">
        <v>53</v>
      </c>
      <c r="D133" t="s">
        <v>43</v>
      </c>
      <c r="E133" t="s">
        <v>253</v>
      </c>
      <c r="F133" t="s">
        <v>26</v>
      </c>
      <c r="G133" t="s">
        <v>38</v>
      </c>
      <c r="H133" t="s">
        <v>114</v>
      </c>
      <c r="I133" t="s">
        <v>115</v>
      </c>
      <c r="J133">
        <v>0</v>
      </c>
      <c r="K133">
        <v>0</v>
      </c>
      <c r="L133">
        <v>3</v>
      </c>
      <c r="M133" t="s">
        <v>47</v>
      </c>
      <c r="N133">
        <v>0</v>
      </c>
      <c r="O133">
        <v>0</v>
      </c>
      <c r="P133">
        <v>7</v>
      </c>
      <c r="Q133" t="s">
        <v>41</v>
      </c>
      <c r="R133">
        <v>3</v>
      </c>
      <c r="S133" t="s">
        <v>41</v>
      </c>
      <c r="U133" t="s">
        <v>31</v>
      </c>
      <c r="V133" t="s">
        <v>32</v>
      </c>
    </row>
    <row r="134" spans="1:22" x14ac:dyDescent="0.3">
      <c r="A134" t="s">
        <v>254</v>
      </c>
      <c r="B134">
        <v>2025</v>
      </c>
      <c r="C134" t="s">
        <v>74</v>
      </c>
      <c r="D134" t="s">
        <v>156</v>
      </c>
      <c r="E134" t="s">
        <v>86</v>
      </c>
      <c r="F134" t="s">
        <v>37</v>
      </c>
      <c r="G134" t="s">
        <v>55</v>
      </c>
      <c r="H134" t="s">
        <v>28</v>
      </c>
      <c r="I134" t="s">
        <v>40</v>
      </c>
      <c r="J134">
        <v>41</v>
      </c>
      <c r="K134">
        <v>15.2</v>
      </c>
      <c r="L134">
        <v>11.8</v>
      </c>
      <c r="M134" t="s">
        <v>30</v>
      </c>
      <c r="N134">
        <v>0</v>
      </c>
      <c r="O134">
        <v>155.47999999999999</v>
      </c>
      <c r="P134">
        <v>10</v>
      </c>
      <c r="Q134" t="s">
        <v>31</v>
      </c>
      <c r="R134">
        <v>3</v>
      </c>
      <c r="S134" t="s">
        <v>31</v>
      </c>
      <c r="T134">
        <v>14.5</v>
      </c>
      <c r="U134" t="s">
        <v>41</v>
      </c>
      <c r="V134" t="s">
        <v>32</v>
      </c>
    </row>
    <row r="135" spans="1:22" x14ac:dyDescent="0.3">
      <c r="A135" t="s">
        <v>255</v>
      </c>
      <c r="B135">
        <v>2025</v>
      </c>
      <c r="C135" t="s">
        <v>53</v>
      </c>
      <c r="D135" t="s">
        <v>85</v>
      </c>
      <c r="E135" t="s">
        <v>36</v>
      </c>
      <c r="F135" t="s">
        <v>75</v>
      </c>
      <c r="G135" t="s">
        <v>55</v>
      </c>
      <c r="H135" t="s">
        <v>39</v>
      </c>
      <c r="I135" t="s">
        <v>65</v>
      </c>
      <c r="J135">
        <v>33</v>
      </c>
      <c r="K135">
        <v>3.2</v>
      </c>
      <c r="L135">
        <v>6.5</v>
      </c>
      <c r="M135" t="s">
        <v>30</v>
      </c>
      <c r="N135">
        <v>9</v>
      </c>
      <c r="O135">
        <v>205.43</v>
      </c>
      <c r="P135">
        <v>4</v>
      </c>
      <c r="Q135" t="s">
        <v>28</v>
      </c>
      <c r="R135">
        <v>5</v>
      </c>
      <c r="S135" t="s">
        <v>31</v>
      </c>
      <c r="T135">
        <v>14.3</v>
      </c>
      <c r="U135" t="s">
        <v>28</v>
      </c>
      <c r="V135" t="s">
        <v>51</v>
      </c>
    </row>
    <row r="136" spans="1:22" hidden="1" x14ac:dyDescent="0.3">
      <c r="A136" t="s">
        <v>256</v>
      </c>
      <c r="B136">
        <v>2025</v>
      </c>
      <c r="C136" t="s">
        <v>74</v>
      </c>
      <c r="D136" t="s">
        <v>35</v>
      </c>
      <c r="E136" t="s">
        <v>36</v>
      </c>
      <c r="F136" t="s">
        <v>132</v>
      </c>
      <c r="G136" t="s">
        <v>55</v>
      </c>
      <c r="H136" t="s">
        <v>114</v>
      </c>
      <c r="I136" t="s">
        <v>115</v>
      </c>
      <c r="J136">
        <v>0</v>
      </c>
      <c r="K136">
        <v>0</v>
      </c>
      <c r="L136">
        <v>5.5</v>
      </c>
      <c r="M136" t="s">
        <v>47</v>
      </c>
      <c r="N136">
        <v>2</v>
      </c>
      <c r="O136">
        <v>0</v>
      </c>
      <c r="P136">
        <v>7</v>
      </c>
      <c r="Q136" t="s">
        <v>28</v>
      </c>
      <c r="R136">
        <v>3</v>
      </c>
      <c r="S136" t="s">
        <v>41</v>
      </c>
      <c r="U136" t="s">
        <v>41</v>
      </c>
      <c r="V136" t="s">
        <v>51</v>
      </c>
    </row>
    <row r="137" spans="1:22" x14ac:dyDescent="0.3">
      <c r="A137" t="s">
        <v>257</v>
      </c>
      <c r="B137">
        <v>2024</v>
      </c>
      <c r="C137" t="s">
        <v>258</v>
      </c>
      <c r="D137" t="s">
        <v>43</v>
      </c>
      <c r="E137" t="s">
        <v>25</v>
      </c>
      <c r="F137" t="s">
        <v>132</v>
      </c>
      <c r="G137" t="s">
        <v>27</v>
      </c>
      <c r="H137" t="s">
        <v>259</v>
      </c>
      <c r="I137" t="s">
        <v>65</v>
      </c>
      <c r="J137">
        <v>61</v>
      </c>
      <c r="K137">
        <v>9.6999999999999993</v>
      </c>
      <c r="L137">
        <v>17.8</v>
      </c>
      <c r="M137" t="s">
        <v>144</v>
      </c>
      <c r="N137">
        <v>38</v>
      </c>
      <c r="O137">
        <v>144.69999999999999</v>
      </c>
      <c r="P137">
        <v>0</v>
      </c>
      <c r="Q137" t="s">
        <v>28</v>
      </c>
      <c r="R137">
        <v>7</v>
      </c>
      <c r="S137" t="s">
        <v>91</v>
      </c>
      <c r="T137">
        <v>7.5</v>
      </c>
      <c r="U137" t="s">
        <v>41</v>
      </c>
      <c r="V137" t="s">
        <v>72</v>
      </c>
    </row>
    <row r="138" spans="1:22" x14ac:dyDescent="0.3">
      <c r="A138" t="s">
        <v>260</v>
      </c>
      <c r="B138">
        <v>2025</v>
      </c>
      <c r="C138" t="s">
        <v>74</v>
      </c>
      <c r="D138" t="s">
        <v>59</v>
      </c>
      <c r="E138" t="s">
        <v>36</v>
      </c>
      <c r="F138" t="s">
        <v>98</v>
      </c>
      <c r="G138" t="s">
        <v>55</v>
      </c>
      <c r="H138" t="s">
        <v>39</v>
      </c>
      <c r="I138" t="s">
        <v>90</v>
      </c>
      <c r="J138">
        <v>77</v>
      </c>
      <c r="K138">
        <v>8.1</v>
      </c>
      <c r="L138">
        <v>6.1</v>
      </c>
      <c r="M138" t="s">
        <v>144</v>
      </c>
      <c r="N138">
        <v>6</v>
      </c>
      <c r="O138">
        <v>162.29</v>
      </c>
      <c r="P138">
        <v>7</v>
      </c>
      <c r="Q138" t="s">
        <v>39</v>
      </c>
      <c r="R138">
        <v>8</v>
      </c>
      <c r="S138" t="s">
        <v>28</v>
      </c>
      <c r="T138">
        <v>5.8</v>
      </c>
      <c r="U138" t="s">
        <v>31</v>
      </c>
      <c r="V138" t="s">
        <v>32</v>
      </c>
    </row>
    <row r="139" spans="1:22" x14ac:dyDescent="0.3">
      <c r="A139" t="s">
        <v>261</v>
      </c>
      <c r="B139">
        <v>2025</v>
      </c>
      <c r="C139" t="s">
        <v>74</v>
      </c>
      <c r="D139" t="s">
        <v>102</v>
      </c>
      <c r="E139" t="s">
        <v>82</v>
      </c>
      <c r="F139" t="s">
        <v>120</v>
      </c>
      <c r="G139" t="s">
        <v>38</v>
      </c>
      <c r="H139" t="s">
        <v>28</v>
      </c>
      <c r="I139" t="s">
        <v>49</v>
      </c>
      <c r="J139">
        <v>27</v>
      </c>
      <c r="K139">
        <v>12.4</v>
      </c>
      <c r="L139">
        <v>8.6999999999999993</v>
      </c>
      <c r="M139" t="s">
        <v>50</v>
      </c>
      <c r="N139">
        <v>16</v>
      </c>
      <c r="O139">
        <v>72.430000000000007</v>
      </c>
      <c r="P139">
        <v>9</v>
      </c>
      <c r="Q139" t="s">
        <v>41</v>
      </c>
      <c r="R139">
        <v>8</v>
      </c>
      <c r="S139" t="s">
        <v>28</v>
      </c>
      <c r="T139">
        <v>7.5</v>
      </c>
      <c r="U139" t="s">
        <v>39</v>
      </c>
      <c r="V139" t="s">
        <v>32</v>
      </c>
    </row>
    <row r="140" spans="1:22" x14ac:dyDescent="0.3">
      <c r="A140" t="s">
        <v>262</v>
      </c>
      <c r="B140">
        <v>2025</v>
      </c>
      <c r="C140" t="s">
        <v>53</v>
      </c>
      <c r="D140" t="s">
        <v>24</v>
      </c>
      <c r="E140" t="s">
        <v>25</v>
      </c>
      <c r="F140" t="s">
        <v>37</v>
      </c>
      <c r="G140" t="s">
        <v>55</v>
      </c>
      <c r="H140" t="s">
        <v>39</v>
      </c>
      <c r="I140" t="s">
        <v>40</v>
      </c>
      <c r="J140">
        <v>28</v>
      </c>
      <c r="K140">
        <v>11.3</v>
      </c>
      <c r="L140">
        <v>30.9</v>
      </c>
      <c r="M140" t="s">
        <v>144</v>
      </c>
      <c r="N140">
        <v>45</v>
      </c>
      <c r="O140">
        <v>145.72999999999999</v>
      </c>
      <c r="P140">
        <v>10</v>
      </c>
      <c r="Q140" t="s">
        <v>41</v>
      </c>
      <c r="R140">
        <v>9</v>
      </c>
      <c r="S140" t="s">
        <v>91</v>
      </c>
      <c r="T140">
        <v>7.5</v>
      </c>
      <c r="U140" t="s">
        <v>41</v>
      </c>
      <c r="V140" t="s">
        <v>72</v>
      </c>
    </row>
    <row r="141" spans="1:22" x14ac:dyDescent="0.3">
      <c r="A141" t="s">
        <v>263</v>
      </c>
      <c r="B141">
        <v>2026</v>
      </c>
      <c r="C141" t="s">
        <v>53</v>
      </c>
      <c r="D141" t="s">
        <v>24</v>
      </c>
      <c r="E141" t="s">
        <v>82</v>
      </c>
      <c r="F141" t="s">
        <v>26</v>
      </c>
      <c r="G141" t="s">
        <v>76</v>
      </c>
      <c r="H141" t="s">
        <v>39</v>
      </c>
      <c r="I141" t="s">
        <v>49</v>
      </c>
      <c r="J141">
        <v>55</v>
      </c>
      <c r="K141">
        <v>7.7</v>
      </c>
      <c r="L141">
        <v>28.1</v>
      </c>
      <c r="M141" t="s">
        <v>50</v>
      </c>
      <c r="N141">
        <v>11</v>
      </c>
      <c r="O141">
        <v>68.540000000000006</v>
      </c>
      <c r="P141">
        <v>7</v>
      </c>
      <c r="Q141" t="s">
        <v>39</v>
      </c>
      <c r="R141">
        <v>7</v>
      </c>
      <c r="S141" t="s">
        <v>31</v>
      </c>
      <c r="T141">
        <v>16.7</v>
      </c>
      <c r="U141" t="s">
        <v>41</v>
      </c>
      <c r="V141" t="s">
        <v>32</v>
      </c>
    </row>
    <row r="142" spans="1:22" x14ac:dyDescent="0.3">
      <c r="A142" t="s">
        <v>264</v>
      </c>
      <c r="B142">
        <v>2026</v>
      </c>
      <c r="C142" t="s">
        <v>23</v>
      </c>
      <c r="D142" t="s">
        <v>102</v>
      </c>
      <c r="E142" t="s">
        <v>82</v>
      </c>
      <c r="F142" t="s">
        <v>141</v>
      </c>
      <c r="G142" t="s">
        <v>55</v>
      </c>
      <c r="H142" t="s">
        <v>31</v>
      </c>
      <c r="I142" t="s">
        <v>49</v>
      </c>
      <c r="J142">
        <v>18</v>
      </c>
      <c r="K142">
        <v>4.0999999999999996</v>
      </c>
      <c r="L142">
        <v>1.7</v>
      </c>
      <c r="M142" t="s">
        <v>30</v>
      </c>
      <c r="N142">
        <v>0</v>
      </c>
      <c r="O142">
        <v>6075.96</v>
      </c>
      <c r="P142">
        <v>3</v>
      </c>
      <c r="Q142" t="s">
        <v>28</v>
      </c>
      <c r="R142">
        <v>7</v>
      </c>
      <c r="S142" t="s">
        <v>31</v>
      </c>
      <c r="T142">
        <v>11.2</v>
      </c>
      <c r="U142" t="s">
        <v>28</v>
      </c>
      <c r="V142" t="s">
        <v>51</v>
      </c>
    </row>
    <row r="143" spans="1:22" x14ac:dyDescent="0.3">
      <c r="A143" t="s">
        <v>265</v>
      </c>
      <c r="B143">
        <v>2026</v>
      </c>
      <c r="C143" t="s">
        <v>196</v>
      </c>
      <c r="D143" t="s">
        <v>81</v>
      </c>
      <c r="E143" t="s">
        <v>25</v>
      </c>
      <c r="F143" t="s">
        <v>37</v>
      </c>
      <c r="G143" t="s">
        <v>45</v>
      </c>
      <c r="H143" t="s">
        <v>39</v>
      </c>
      <c r="I143" t="s">
        <v>65</v>
      </c>
      <c r="J143">
        <v>42</v>
      </c>
      <c r="K143">
        <v>5.2</v>
      </c>
      <c r="L143">
        <v>7.7</v>
      </c>
      <c r="M143" t="s">
        <v>50</v>
      </c>
      <c r="N143">
        <v>6</v>
      </c>
      <c r="O143">
        <v>67.819999999999993</v>
      </c>
      <c r="P143">
        <v>8</v>
      </c>
      <c r="Q143" t="s">
        <v>41</v>
      </c>
      <c r="R143">
        <v>5</v>
      </c>
      <c r="S143" t="s">
        <v>31</v>
      </c>
      <c r="T143">
        <v>9.1999999999999993</v>
      </c>
      <c r="U143" t="s">
        <v>31</v>
      </c>
      <c r="V143" t="s">
        <v>32</v>
      </c>
    </row>
    <row r="144" spans="1:22" x14ac:dyDescent="0.3">
      <c r="A144" t="s">
        <v>266</v>
      </c>
      <c r="B144">
        <v>2025</v>
      </c>
      <c r="C144" t="s">
        <v>217</v>
      </c>
      <c r="D144" t="s">
        <v>85</v>
      </c>
      <c r="E144" t="s">
        <v>25</v>
      </c>
      <c r="F144" t="s">
        <v>132</v>
      </c>
      <c r="G144" t="s">
        <v>55</v>
      </c>
      <c r="H144" t="s">
        <v>39</v>
      </c>
      <c r="I144" t="s">
        <v>46</v>
      </c>
      <c r="J144">
        <v>116</v>
      </c>
      <c r="K144">
        <v>26</v>
      </c>
      <c r="L144">
        <v>37.5</v>
      </c>
      <c r="M144" t="s">
        <v>144</v>
      </c>
      <c r="N144">
        <v>67</v>
      </c>
      <c r="O144">
        <v>107.99</v>
      </c>
      <c r="P144">
        <v>8</v>
      </c>
      <c r="Q144" t="s">
        <v>41</v>
      </c>
      <c r="R144">
        <v>8</v>
      </c>
      <c r="S144" t="s">
        <v>91</v>
      </c>
      <c r="T144">
        <v>6.3</v>
      </c>
      <c r="U144" t="s">
        <v>41</v>
      </c>
      <c r="V144" t="s">
        <v>72</v>
      </c>
    </row>
    <row r="145" spans="1:22" x14ac:dyDescent="0.3">
      <c r="A145" t="s">
        <v>267</v>
      </c>
      <c r="B145">
        <v>2026</v>
      </c>
      <c r="C145" t="s">
        <v>104</v>
      </c>
      <c r="D145" t="s">
        <v>63</v>
      </c>
      <c r="E145" t="s">
        <v>82</v>
      </c>
      <c r="F145" t="s">
        <v>132</v>
      </c>
      <c r="G145" t="s">
        <v>55</v>
      </c>
      <c r="H145" t="s">
        <v>39</v>
      </c>
      <c r="I145" t="s">
        <v>71</v>
      </c>
      <c r="J145">
        <v>85</v>
      </c>
      <c r="K145">
        <v>26</v>
      </c>
      <c r="L145">
        <v>51.7</v>
      </c>
      <c r="M145" t="s">
        <v>30</v>
      </c>
      <c r="N145">
        <v>21</v>
      </c>
      <c r="O145">
        <v>145.84</v>
      </c>
      <c r="P145">
        <v>8</v>
      </c>
      <c r="Q145" t="s">
        <v>31</v>
      </c>
      <c r="R145">
        <v>10</v>
      </c>
      <c r="S145" t="s">
        <v>31</v>
      </c>
      <c r="T145">
        <v>7.6</v>
      </c>
      <c r="U145" t="s">
        <v>39</v>
      </c>
      <c r="V145" t="s">
        <v>72</v>
      </c>
    </row>
    <row r="146" spans="1:22" x14ac:dyDescent="0.3">
      <c r="A146" t="s">
        <v>268</v>
      </c>
      <c r="B146">
        <v>2026</v>
      </c>
      <c r="C146" t="s">
        <v>134</v>
      </c>
      <c r="D146" t="s">
        <v>81</v>
      </c>
      <c r="E146" t="s">
        <v>36</v>
      </c>
      <c r="F146" t="s">
        <v>64</v>
      </c>
      <c r="G146" t="s">
        <v>55</v>
      </c>
      <c r="H146" t="s">
        <v>39</v>
      </c>
      <c r="I146" t="s">
        <v>46</v>
      </c>
      <c r="J146">
        <v>106</v>
      </c>
      <c r="K146">
        <v>0</v>
      </c>
      <c r="L146">
        <v>46</v>
      </c>
      <c r="M146" t="s">
        <v>144</v>
      </c>
      <c r="N146">
        <v>45</v>
      </c>
      <c r="O146">
        <v>294.45999999999998</v>
      </c>
      <c r="P146">
        <v>9</v>
      </c>
      <c r="Q146" t="s">
        <v>31</v>
      </c>
      <c r="R146">
        <v>9</v>
      </c>
      <c r="S146" t="s">
        <v>91</v>
      </c>
      <c r="T146">
        <v>6.1</v>
      </c>
      <c r="U146" t="s">
        <v>41</v>
      </c>
      <c r="V146" t="s">
        <v>72</v>
      </c>
    </row>
    <row r="147" spans="1:22" x14ac:dyDescent="0.3">
      <c r="A147" t="s">
        <v>269</v>
      </c>
      <c r="B147">
        <v>2024</v>
      </c>
      <c r="C147" t="s">
        <v>94</v>
      </c>
      <c r="D147" t="s">
        <v>63</v>
      </c>
      <c r="E147" t="s">
        <v>36</v>
      </c>
      <c r="F147" t="s">
        <v>75</v>
      </c>
      <c r="G147" t="s">
        <v>55</v>
      </c>
      <c r="H147" t="s">
        <v>41</v>
      </c>
      <c r="I147" t="s">
        <v>49</v>
      </c>
      <c r="J147">
        <v>5</v>
      </c>
      <c r="K147">
        <v>0.8</v>
      </c>
      <c r="L147">
        <v>-5.5</v>
      </c>
      <c r="M147" t="s">
        <v>47</v>
      </c>
      <c r="N147">
        <v>0</v>
      </c>
      <c r="O147">
        <v>7.9</v>
      </c>
      <c r="P147">
        <v>7</v>
      </c>
      <c r="Q147" t="s">
        <v>28</v>
      </c>
      <c r="R147">
        <v>5</v>
      </c>
      <c r="S147" t="s">
        <v>41</v>
      </c>
      <c r="T147">
        <v>56</v>
      </c>
      <c r="U147" t="s">
        <v>31</v>
      </c>
      <c r="V147" t="s">
        <v>51</v>
      </c>
    </row>
    <row r="148" spans="1:22" x14ac:dyDescent="0.3">
      <c r="A148" t="s">
        <v>270</v>
      </c>
      <c r="B148">
        <v>2026</v>
      </c>
      <c r="C148" t="s">
        <v>94</v>
      </c>
      <c r="D148" t="s">
        <v>85</v>
      </c>
      <c r="E148" t="s">
        <v>36</v>
      </c>
      <c r="F148" t="s">
        <v>271</v>
      </c>
      <c r="G148" t="s">
        <v>38</v>
      </c>
      <c r="H148" t="s">
        <v>31</v>
      </c>
      <c r="I148" t="s">
        <v>65</v>
      </c>
      <c r="J148">
        <v>34</v>
      </c>
      <c r="K148">
        <v>6.1</v>
      </c>
      <c r="L148">
        <v>8.1999999999999993</v>
      </c>
      <c r="M148" t="s">
        <v>30</v>
      </c>
      <c r="N148">
        <v>8</v>
      </c>
      <c r="O148">
        <v>85.73</v>
      </c>
      <c r="P148">
        <v>7</v>
      </c>
      <c r="Q148" t="s">
        <v>31</v>
      </c>
      <c r="R148">
        <v>7</v>
      </c>
      <c r="S148" t="s">
        <v>91</v>
      </c>
      <c r="T148">
        <v>6.9</v>
      </c>
      <c r="U148" t="s">
        <v>31</v>
      </c>
      <c r="V148" t="s">
        <v>32</v>
      </c>
    </row>
    <row r="149" spans="1:22" x14ac:dyDescent="0.3">
      <c r="A149" t="s">
        <v>272</v>
      </c>
      <c r="B149">
        <v>2025</v>
      </c>
      <c r="C149" t="s">
        <v>273</v>
      </c>
      <c r="D149" t="s">
        <v>69</v>
      </c>
      <c r="E149" t="s">
        <v>25</v>
      </c>
      <c r="F149" t="s">
        <v>44</v>
      </c>
      <c r="G149" t="s">
        <v>45</v>
      </c>
      <c r="H149" t="s">
        <v>28</v>
      </c>
      <c r="I149" t="s">
        <v>65</v>
      </c>
      <c r="J149">
        <v>27</v>
      </c>
      <c r="K149">
        <v>12.8</v>
      </c>
      <c r="L149">
        <v>33.4</v>
      </c>
      <c r="M149" t="s">
        <v>30</v>
      </c>
      <c r="N149">
        <v>19</v>
      </c>
      <c r="O149">
        <v>159.26</v>
      </c>
      <c r="P149">
        <v>7</v>
      </c>
      <c r="Q149" t="s">
        <v>28</v>
      </c>
      <c r="R149">
        <v>6</v>
      </c>
      <c r="S149" t="s">
        <v>28</v>
      </c>
      <c r="T149">
        <v>13.2</v>
      </c>
      <c r="U149" t="s">
        <v>31</v>
      </c>
      <c r="V149" t="s">
        <v>72</v>
      </c>
    </row>
    <row r="150" spans="1:22" x14ac:dyDescent="0.3">
      <c r="A150" t="s">
        <v>274</v>
      </c>
      <c r="B150">
        <v>2025</v>
      </c>
      <c r="C150" t="s">
        <v>34</v>
      </c>
      <c r="D150" t="s">
        <v>59</v>
      </c>
      <c r="E150" t="s">
        <v>36</v>
      </c>
      <c r="F150" t="s">
        <v>75</v>
      </c>
      <c r="G150" t="s">
        <v>55</v>
      </c>
      <c r="H150" t="s">
        <v>28</v>
      </c>
      <c r="I150" t="s">
        <v>49</v>
      </c>
      <c r="J150">
        <v>9</v>
      </c>
      <c r="K150">
        <v>2.1</v>
      </c>
      <c r="L150">
        <v>-9.3000000000000007</v>
      </c>
      <c r="M150" t="s">
        <v>47</v>
      </c>
      <c r="N150">
        <v>18</v>
      </c>
      <c r="O150">
        <v>63.78</v>
      </c>
      <c r="P150">
        <v>0</v>
      </c>
      <c r="Q150" t="s">
        <v>31</v>
      </c>
      <c r="R150">
        <v>4</v>
      </c>
      <c r="S150" t="s">
        <v>31</v>
      </c>
      <c r="T150">
        <v>8.5</v>
      </c>
      <c r="U150" t="s">
        <v>31</v>
      </c>
      <c r="V150" t="s">
        <v>51</v>
      </c>
    </row>
    <row r="151" spans="1:22" x14ac:dyDescent="0.3">
      <c r="A151" t="s">
        <v>275</v>
      </c>
      <c r="B151">
        <v>2024</v>
      </c>
      <c r="C151" t="s">
        <v>74</v>
      </c>
      <c r="D151" t="s">
        <v>81</v>
      </c>
      <c r="E151" t="s">
        <v>36</v>
      </c>
      <c r="F151" t="s">
        <v>132</v>
      </c>
      <c r="G151" t="s">
        <v>38</v>
      </c>
      <c r="H151" t="s">
        <v>41</v>
      </c>
      <c r="I151" t="s">
        <v>90</v>
      </c>
      <c r="J151">
        <v>5</v>
      </c>
      <c r="K151">
        <v>0.7</v>
      </c>
      <c r="L151">
        <v>-5.7</v>
      </c>
      <c r="M151" t="s">
        <v>47</v>
      </c>
      <c r="N151">
        <v>3</v>
      </c>
      <c r="O151">
        <v>20.72</v>
      </c>
      <c r="P151">
        <v>4</v>
      </c>
      <c r="Q151" t="s">
        <v>39</v>
      </c>
      <c r="R151">
        <v>4</v>
      </c>
      <c r="S151" t="s">
        <v>41</v>
      </c>
      <c r="T151">
        <v>11.5</v>
      </c>
      <c r="U151" t="s">
        <v>28</v>
      </c>
      <c r="V151" t="s">
        <v>125</v>
      </c>
    </row>
    <row r="152" spans="1:22" hidden="1" x14ac:dyDescent="0.3">
      <c r="A152" t="s">
        <v>276</v>
      </c>
      <c r="B152">
        <v>2024</v>
      </c>
      <c r="C152" t="s">
        <v>53</v>
      </c>
      <c r="D152" t="s">
        <v>102</v>
      </c>
      <c r="E152" t="s">
        <v>25</v>
      </c>
      <c r="F152" t="s">
        <v>98</v>
      </c>
      <c r="G152" t="s">
        <v>38</v>
      </c>
      <c r="H152" t="s">
        <v>114</v>
      </c>
      <c r="I152" t="s">
        <v>115</v>
      </c>
      <c r="J152">
        <v>0</v>
      </c>
      <c r="K152">
        <v>0</v>
      </c>
      <c r="L152">
        <v>-2.5</v>
      </c>
      <c r="M152" t="s">
        <v>30</v>
      </c>
      <c r="N152">
        <v>11</v>
      </c>
      <c r="O152">
        <v>0</v>
      </c>
      <c r="P152">
        <v>5</v>
      </c>
      <c r="Q152" t="s">
        <v>28</v>
      </c>
      <c r="R152">
        <v>4</v>
      </c>
      <c r="S152" t="s">
        <v>41</v>
      </c>
      <c r="U152" t="s">
        <v>41</v>
      </c>
      <c r="V152" t="s">
        <v>32</v>
      </c>
    </row>
    <row r="153" spans="1:22" x14ac:dyDescent="0.3">
      <c r="A153" t="s">
        <v>277</v>
      </c>
      <c r="B153">
        <v>2026</v>
      </c>
      <c r="C153" t="s">
        <v>23</v>
      </c>
      <c r="D153" t="s">
        <v>69</v>
      </c>
      <c r="E153" t="s">
        <v>86</v>
      </c>
      <c r="F153" t="s">
        <v>113</v>
      </c>
      <c r="G153" t="s">
        <v>27</v>
      </c>
      <c r="H153" t="s">
        <v>31</v>
      </c>
      <c r="I153" t="s">
        <v>90</v>
      </c>
      <c r="J153">
        <v>11</v>
      </c>
      <c r="K153">
        <v>2.7</v>
      </c>
      <c r="L153">
        <v>10.6</v>
      </c>
      <c r="M153" t="s">
        <v>30</v>
      </c>
      <c r="N153">
        <v>11</v>
      </c>
      <c r="O153">
        <v>37.33</v>
      </c>
      <c r="P153">
        <v>7</v>
      </c>
      <c r="Q153" t="s">
        <v>39</v>
      </c>
      <c r="R153">
        <v>5</v>
      </c>
      <c r="S153" t="s">
        <v>31</v>
      </c>
      <c r="T153">
        <v>9.5</v>
      </c>
      <c r="U153" t="s">
        <v>39</v>
      </c>
      <c r="V153" t="s">
        <v>125</v>
      </c>
    </row>
    <row r="154" spans="1:22" x14ac:dyDescent="0.3">
      <c r="A154" t="s">
        <v>278</v>
      </c>
      <c r="B154">
        <v>2026</v>
      </c>
      <c r="C154" t="s">
        <v>53</v>
      </c>
      <c r="D154" t="s">
        <v>89</v>
      </c>
      <c r="E154" t="s">
        <v>82</v>
      </c>
      <c r="F154" t="s">
        <v>70</v>
      </c>
      <c r="G154" t="s">
        <v>27</v>
      </c>
      <c r="H154" t="s">
        <v>28</v>
      </c>
      <c r="I154" t="s">
        <v>49</v>
      </c>
      <c r="J154">
        <v>33</v>
      </c>
      <c r="K154">
        <v>12.1</v>
      </c>
      <c r="L154">
        <v>6.7</v>
      </c>
      <c r="M154" t="s">
        <v>50</v>
      </c>
      <c r="N154">
        <v>33</v>
      </c>
      <c r="O154">
        <v>72.81</v>
      </c>
      <c r="P154">
        <v>7</v>
      </c>
      <c r="Q154" t="s">
        <v>28</v>
      </c>
      <c r="R154">
        <v>6</v>
      </c>
      <c r="S154" t="s">
        <v>91</v>
      </c>
      <c r="T154">
        <v>7.4</v>
      </c>
      <c r="U154" t="s">
        <v>39</v>
      </c>
      <c r="V154" t="s">
        <v>32</v>
      </c>
    </row>
    <row r="155" spans="1:22" x14ac:dyDescent="0.3">
      <c r="A155" t="s">
        <v>279</v>
      </c>
      <c r="B155">
        <v>2026</v>
      </c>
      <c r="C155" t="s">
        <v>74</v>
      </c>
      <c r="D155" t="s">
        <v>63</v>
      </c>
      <c r="E155" t="s">
        <v>82</v>
      </c>
      <c r="F155" t="s">
        <v>64</v>
      </c>
      <c r="G155" t="s">
        <v>55</v>
      </c>
      <c r="H155" t="s">
        <v>28</v>
      </c>
      <c r="I155" t="s">
        <v>71</v>
      </c>
      <c r="J155">
        <v>83</v>
      </c>
      <c r="K155">
        <v>26</v>
      </c>
      <c r="L155">
        <v>43.7</v>
      </c>
      <c r="M155" t="s">
        <v>144</v>
      </c>
      <c r="N155">
        <v>15</v>
      </c>
      <c r="O155">
        <v>157.93</v>
      </c>
      <c r="P155">
        <v>10</v>
      </c>
      <c r="Q155" t="s">
        <v>31</v>
      </c>
      <c r="R155">
        <v>7</v>
      </c>
      <c r="S155" t="s">
        <v>91</v>
      </c>
      <c r="T155">
        <v>9.6</v>
      </c>
      <c r="U155" t="s">
        <v>31</v>
      </c>
      <c r="V155" t="s">
        <v>280</v>
      </c>
    </row>
    <row r="156" spans="1:22" x14ac:dyDescent="0.3">
      <c r="A156" t="s">
        <v>281</v>
      </c>
      <c r="B156">
        <v>2025</v>
      </c>
      <c r="C156" t="s">
        <v>34</v>
      </c>
      <c r="D156" t="s">
        <v>43</v>
      </c>
      <c r="E156" t="s">
        <v>82</v>
      </c>
      <c r="F156" t="s">
        <v>26</v>
      </c>
      <c r="G156" t="s">
        <v>45</v>
      </c>
      <c r="H156" t="s">
        <v>28</v>
      </c>
      <c r="I156" t="s">
        <v>65</v>
      </c>
      <c r="J156">
        <v>38</v>
      </c>
      <c r="K156">
        <v>6.9</v>
      </c>
      <c r="L156">
        <v>4.7</v>
      </c>
      <c r="M156" t="s">
        <v>30</v>
      </c>
      <c r="N156">
        <v>28</v>
      </c>
      <c r="O156">
        <v>84.43</v>
      </c>
      <c r="P156">
        <v>9</v>
      </c>
      <c r="Q156" t="s">
        <v>31</v>
      </c>
      <c r="R156">
        <v>7</v>
      </c>
      <c r="S156" t="s">
        <v>31</v>
      </c>
      <c r="T156">
        <v>9.4</v>
      </c>
      <c r="U156" t="s">
        <v>41</v>
      </c>
      <c r="V156" t="s">
        <v>32</v>
      </c>
    </row>
    <row r="157" spans="1:22" x14ac:dyDescent="0.3">
      <c r="A157" t="s">
        <v>282</v>
      </c>
      <c r="B157">
        <v>2024</v>
      </c>
      <c r="C157" t="s">
        <v>74</v>
      </c>
      <c r="D157" t="s">
        <v>81</v>
      </c>
      <c r="E157" t="s">
        <v>25</v>
      </c>
      <c r="F157" t="s">
        <v>98</v>
      </c>
      <c r="G157" t="s">
        <v>45</v>
      </c>
      <c r="H157" t="s">
        <v>31</v>
      </c>
      <c r="I157" t="s">
        <v>90</v>
      </c>
      <c r="J157">
        <v>11</v>
      </c>
      <c r="K157">
        <v>2.2000000000000002</v>
      </c>
      <c r="L157">
        <v>7.6</v>
      </c>
      <c r="M157" t="s">
        <v>30</v>
      </c>
      <c r="N157">
        <v>6</v>
      </c>
      <c r="O157">
        <v>52.1</v>
      </c>
      <c r="P157">
        <v>4</v>
      </c>
      <c r="Q157" t="s">
        <v>41</v>
      </c>
      <c r="R157">
        <v>3</v>
      </c>
      <c r="S157" t="s">
        <v>41</v>
      </c>
      <c r="T157">
        <v>13.5</v>
      </c>
      <c r="U157" t="s">
        <v>41</v>
      </c>
      <c r="V157" t="s">
        <v>51</v>
      </c>
    </row>
    <row r="158" spans="1:22" x14ac:dyDescent="0.3">
      <c r="A158" t="s">
        <v>283</v>
      </c>
      <c r="B158">
        <v>2025</v>
      </c>
      <c r="C158" t="s">
        <v>53</v>
      </c>
      <c r="D158" t="s">
        <v>43</v>
      </c>
      <c r="E158" t="s">
        <v>82</v>
      </c>
      <c r="F158" t="s">
        <v>98</v>
      </c>
      <c r="G158" t="s">
        <v>38</v>
      </c>
      <c r="H158" t="s">
        <v>41</v>
      </c>
      <c r="I158" t="s">
        <v>71</v>
      </c>
      <c r="J158">
        <v>17</v>
      </c>
      <c r="K158">
        <v>3.6</v>
      </c>
      <c r="L158">
        <v>13.7</v>
      </c>
      <c r="M158" t="s">
        <v>47</v>
      </c>
      <c r="N158">
        <v>14</v>
      </c>
      <c r="O158">
        <v>109.35</v>
      </c>
      <c r="P158">
        <v>6</v>
      </c>
      <c r="Q158" t="s">
        <v>28</v>
      </c>
      <c r="R158">
        <v>3</v>
      </c>
      <c r="S158" t="s">
        <v>41</v>
      </c>
      <c r="T158">
        <v>11.9</v>
      </c>
      <c r="U158" t="s">
        <v>31</v>
      </c>
      <c r="V158" t="s">
        <v>51</v>
      </c>
    </row>
    <row r="159" spans="1:22" x14ac:dyDescent="0.3">
      <c r="A159" t="s">
        <v>284</v>
      </c>
      <c r="B159">
        <v>2024</v>
      </c>
      <c r="C159" t="s">
        <v>101</v>
      </c>
      <c r="D159" t="s">
        <v>59</v>
      </c>
      <c r="E159" t="s">
        <v>86</v>
      </c>
      <c r="F159" t="s">
        <v>75</v>
      </c>
      <c r="G159" t="s">
        <v>45</v>
      </c>
      <c r="H159" t="s">
        <v>31</v>
      </c>
      <c r="I159" t="s">
        <v>49</v>
      </c>
      <c r="J159">
        <v>26</v>
      </c>
      <c r="K159">
        <v>10.1</v>
      </c>
      <c r="L159">
        <v>-8.5</v>
      </c>
      <c r="M159" t="s">
        <v>30</v>
      </c>
      <c r="N159">
        <v>2</v>
      </c>
      <c r="O159">
        <v>16.18</v>
      </c>
      <c r="P159">
        <v>4</v>
      </c>
      <c r="Q159" t="s">
        <v>28</v>
      </c>
      <c r="R159">
        <v>4</v>
      </c>
      <c r="S159" t="s">
        <v>31</v>
      </c>
      <c r="T159">
        <v>12.8</v>
      </c>
      <c r="U159" t="s">
        <v>31</v>
      </c>
      <c r="V159" t="s">
        <v>125</v>
      </c>
    </row>
    <row r="160" spans="1:22" x14ac:dyDescent="0.3">
      <c r="A160" t="s">
        <v>285</v>
      </c>
      <c r="B160">
        <v>2025</v>
      </c>
      <c r="C160" t="s">
        <v>84</v>
      </c>
      <c r="D160" t="s">
        <v>43</v>
      </c>
      <c r="E160" t="s">
        <v>82</v>
      </c>
      <c r="F160" t="s">
        <v>105</v>
      </c>
      <c r="G160" t="s">
        <v>76</v>
      </c>
      <c r="H160" t="s">
        <v>31</v>
      </c>
      <c r="I160" t="s">
        <v>49</v>
      </c>
      <c r="J160">
        <v>8</v>
      </c>
      <c r="K160">
        <v>1.2</v>
      </c>
      <c r="L160">
        <v>-3.5</v>
      </c>
      <c r="M160" t="s">
        <v>30</v>
      </c>
      <c r="N160">
        <v>7</v>
      </c>
      <c r="O160">
        <v>25.2</v>
      </c>
      <c r="P160">
        <v>6</v>
      </c>
      <c r="Q160" t="s">
        <v>28</v>
      </c>
      <c r="R160">
        <v>6</v>
      </c>
      <c r="S160" t="s">
        <v>31</v>
      </c>
      <c r="T160">
        <v>7.6</v>
      </c>
      <c r="U160" t="s">
        <v>28</v>
      </c>
      <c r="V160" t="s">
        <v>51</v>
      </c>
    </row>
    <row r="161" spans="1:22" x14ac:dyDescent="0.3">
      <c r="A161" t="s">
        <v>286</v>
      </c>
      <c r="B161">
        <v>2024</v>
      </c>
      <c r="C161" t="s">
        <v>84</v>
      </c>
      <c r="D161" t="s">
        <v>63</v>
      </c>
      <c r="E161" t="s">
        <v>25</v>
      </c>
      <c r="F161" t="s">
        <v>87</v>
      </c>
      <c r="G161" t="s">
        <v>27</v>
      </c>
      <c r="H161" t="s">
        <v>31</v>
      </c>
      <c r="I161" t="s">
        <v>65</v>
      </c>
      <c r="J161">
        <v>11</v>
      </c>
      <c r="K161">
        <v>2.7</v>
      </c>
      <c r="L161">
        <v>-18</v>
      </c>
      <c r="M161" t="s">
        <v>47</v>
      </c>
      <c r="N161">
        <v>13</v>
      </c>
      <c r="O161">
        <v>46.88</v>
      </c>
      <c r="P161">
        <v>6</v>
      </c>
      <c r="Q161" t="s">
        <v>39</v>
      </c>
      <c r="R161">
        <v>4</v>
      </c>
      <c r="S161" t="s">
        <v>31</v>
      </c>
      <c r="T161">
        <v>12.3</v>
      </c>
      <c r="U161" t="s">
        <v>41</v>
      </c>
      <c r="V161" t="s">
        <v>51</v>
      </c>
    </row>
    <row r="162" spans="1:22" x14ac:dyDescent="0.3">
      <c r="A162" t="s">
        <v>287</v>
      </c>
      <c r="B162">
        <v>2026</v>
      </c>
      <c r="C162" t="s">
        <v>34</v>
      </c>
      <c r="D162" t="s">
        <v>85</v>
      </c>
      <c r="E162" t="s">
        <v>25</v>
      </c>
      <c r="F162" t="s">
        <v>37</v>
      </c>
      <c r="G162" t="s">
        <v>55</v>
      </c>
      <c r="H162" t="s">
        <v>28</v>
      </c>
      <c r="I162" t="s">
        <v>40</v>
      </c>
      <c r="J162">
        <v>15</v>
      </c>
      <c r="K162">
        <v>4.3</v>
      </c>
      <c r="L162">
        <v>4.5</v>
      </c>
      <c r="M162" t="s">
        <v>288</v>
      </c>
      <c r="N162">
        <v>15</v>
      </c>
      <c r="O162">
        <v>155.93</v>
      </c>
      <c r="P162">
        <v>6</v>
      </c>
      <c r="Q162" t="s">
        <v>31</v>
      </c>
      <c r="R162">
        <v>6</v>
      </c>
      <c r="S162" t="s">
        <v>28</v>
      </c>
      <c r="T162">
        <v>3.1</v>
      </c>
      <c r="U162" t="s">
        <v>31</v>
      </c>
      <c r="V162" t="s">
        <v>32</v>
      </c>
    </row>
    <row r="163" spans="1:22" x14ac:dyDescent="0.3">
      <c r="A163" t="s">
        <v>289</v>
      </c>
      <c r="B163">
        <v>2025</v>
      </c>
      <c r="C163" t="s">
        <v>200</v>
      </c>
      <c r="D163" t="s">
        <v>85</v>
      </c>
      <c r="E163" t="s">
        <v>82</v>
      </c>
      <c r="F163" t="s">
        <v>44</v>
      </c>
      <c r="G163" t="s">
        <v>27</v>
      </c>
      <c r="H163" t="s">
        <v>31</v>
      </c>
      <c r="I163" t="s">
        <v>49</v>
      </c>
      <c r="J163">
        <v>14</v>
      </c>
      <c r="K163">
        <v>1.3</v>
      </c>
      <c r="L163">
        <v>-4.5999999999999996</v>
      </c>
      <c r="M163" t="s">
        <v>30</v>
      </c>
      <c r="N163">
        <v>17</v>
      </c>
      <c r="O163">
        <v>3219.23</v>
      </c>
      <c r="P163">
        <v>5</v>
      </c>
      <c r="Q163" t="s">
        <v>31</v>
      </c>
      <c r="R163">
        <v>3</v>
      </c>
      <c r="S163" t="s">
        <v>31</v>
      </c>
      <c r="T163">
        <v>20.6</v>
      </c>
      <c r="U163" t="s">
        <v>28</v>
      </c>
      <c r="V163" t="s">
        <v>125</v>
      </c>
    </row>
    <row r="164" spans="1:22" x14ac:dyDescent="0.3">
      <c r="A164" t="s">
        <v>290</v>
      </c>
      <c r="B164">
        <v>2026</v>
      </c>
      <c r="C164" t="s">
        <v>196</v>
      </c>
      <c r="D164" t="s">
        <v>63</v>
      </c>
      <c r="E164" t="s">
        <v>86</v>
      </c>
      <c r="F164" t="s">
        <v>64</v>
      </c>
      <c r="G164" t="s">
        <v>27</v>
      </c>
      <c r="H164" t="s">
        <v>291</v>
      </c>
      <c r="I164" t="s">
        <v>71</v>
      </c>
      <c r="J164">
        <v>38</v>
      </c>
      <c r="K164">
        <v>4.5</v>
      </c>
      <c r="L164">
        <v>-1.1000000000000001</v>
      </c>
      <c r="M164" t="s">
        <v>30</v>
      </c>
      <c r="N164">
        <v>4</v>
      </c>
      <c r="O164">
        <v>201.58</v>
      </c>
      <c r="P164">
        <v>3</v>
      </c>
      <c r="Q164" t="s">
        <v>28</v>
      </c>
      <c r="R164">
        <v>6</v>
      </c>
      <c r="S164" t="s">
        <v>31</v>
      </c>
      <c r="T164">
        <v>12.2</v>
      </c>
      <c r="U164" t="s">
        <v>28</v>
      </c>
      <c r="V164" t="s">
        <v>125</v>
      </c>
    </row>
    <row r="165" spans="1:22" x14ac:dyDescent="0.3">
      <c r="A165" t="s">
        <v>292</v>
      </c>
      <c r="B165">
        <v>2024</v>
      </c>
      <c r="C165" t="s">
        <v>134</v>
      </c>
      <c r="D165" t="s">
        <v>63</v>
      </c>
      <c r="E165" t="s">
        <v>25</v>
      </c>
      <c r="F165" t="s">
        <v>54</v>
      </c>
      <c r="G165" t="s">
        <v>45</v>
      </c>
      <c r="H165" t="s">
        <v>31</v>
      </c>
      <c r="I165" t="s">
        <v>90</v>
      </c>
      <c r="J165">
        <v>13</v>
      </c>
      <c r="K165">
        <v>4.2</v>
      </c>
      <c r="L165">
        <v>-13.1</v>
      </c>
      <c r="M165" t="s">
        <v>47</v>
      </c>
      <c r="N165">
        <v>19</v>
      </c>
      <c r="O165">
        <v>47.65</v>
      </c>
      <c r="P165">
        <v>5</v>
      </c>
      <c r="Q165" t="s">
        <v>41</v>
      </c>
      <c r="R165">
        <v>5</v>
      </c>
      <c r="S165" t="s">
        <v>41</v>
      </c>
      <c r="T165">
        <v>10</v>
      </c>
      <c r="U165" t="s">
        <v>31</v>
      </c>
      <c r="V165" t="s">
        <v>51</v>
      </c>
    </row>
    <row r="166" spans="1:22" x14ac:dyDescent="0.3">
      <c r="A166" t="s">
        <v>293</v>
      </c>
      <c r="B166">
        <v>2026</v>
      </c>
      <c r="C166" t="s">
        <v>101</v>
      </c>
      <c r="D166" t="s">
        <v>69</v>
      </c>
      <c r="E166" t="s">
        <v>82</v>
      </c>
      <c r="F166" t="s">
        <v>113</v>
      </c>
      <c r="G166" t="s">
        <v>76</v>
      </c>
      <c r="H166" t="s">
        <v>28</v>
      </c>
      <c r="I166" t="s">
        <v>56</v>
      </c>
      <c r="J166">
        <v>67</v>
      </c>
      <c r="K166">
        <v>12.6</v>
      </c>
      <c r="L166">
        <v>27.7</v>
      </c>
      <c r="M166" t="s">
        <v>50</v>
      </c>
      <c r="N166">
        <v>8</v>
      </c>
      <c r="O166">
        <v>43.05</v>
      </c>
      <c r="P166">
        <v>8</v>
      </c>
      <c r="Q166" t="s">
        <v>28</v>
      </c>
      <c r="R166">
        <v>6</v>
      </c>
      <c r="S166" t="s">
        <v>28</v>
      </c>
      <c r="T166">
        <v>6.5</v>
      </c>
      <c r="U166" t="s">
        <v>41</v>
      </c>
      <c r="V166" t="s">
        <v>32</v>
      </c>
    </row>
    <row r="167" spans="1:22" x14ac:dyDescent="0.3">
      <c r="A167" t="s">
        <v>294</v>
      </c>
      <c r="B167">
        <v>2025</v>
      </c>
      <c r="C167" t="s">
        <v>53</v>
      </c>
      <c r="D167" t="s">
        <v>81</v>
      </c>
      <c r="E167" t="s">
        <v>25</v>
      </c>
      <c r="F167" t="s">
        <v>37</v>
      </c>
      <c r="G167" t="s">
        <v>27</v>
      </c>
      <c r="H167" t="s">
        <v>39</v>
      </c>
      <c r="I167" t="s">
        <v>40</v>
      </c>
      <c r="J167">
        <v>38</v>
      </c>
      <c r="K167">
        <v>26</v>
      </c>
      <c r="L167">
        <v>39.5</v>
      </c>
      <c r="M167" t="s">
        <v>144</v>
      </c>
      <c r="N167">
        <v>20</v>
      </c>
      <c r="O167">
        <v>171.4</v>
      </c>
      <c r="P167">
        <v>7</v>
      </c>
      <c r="Q167" t="s">
        <v>31</v>
      </c>
      <c r="R167">
        <v>7</v>
      </c>
      <c r="S167" t="s">
        <v>28</v>
      </c>
      <c r="T167">
        <v>5.9</v>
      </c>
      <c r="U167" t="s">
        <v>31</v>
      </c>
      <c r="V167" t="s">
        <v>32</v>
      </c>
    </row>
    <row r="168" spans="1:22" x14ac:dyDescent="0.3">
      <c r="A168" t="s">
        <v>295</v>
      </c>
      <c r="B168">
        <v>2024</v>
      </c>
      <c r="C168" t="s">
        <v>134</v>
      </c>
      <c r="D168" t="s">
        <v>43</v>
      </c>
      <c r="E168" t="s">
        <v>25</v>
      </c>
      <c r="F168" t="s">
        <v>132</v>
      </c>
      <c r="G168" t="s">
        <v>27</v>
      </c>
      <c r="H168" t="s">
        <v>28</v>
      </c>
      <c r="I168" t="s">
        <v>46</v>
      </c>
      <c r="J168">
        <v>51</v>
      </c>
      <c r="K168">
        <v>4.0999999999999996</v>
      </c>
      <c r="L168">
        <v>-4.0999999999999996</v>
      </c>
      <c r="M168" t="s">
        <v>50</v>
      </c>
      <c r="N168">
        <v>41</v>
      </c>
      <c r="O168">
        <v>193.6</v>
      </c>
      <c r="P168">
        <v>8</v>
      </c>
      <c r="Q168" t="s">
        <v>28</v>
      </c>
      <c r="R168">
        <v>7</v>
      </c>
      <c r="S168" t="s">
        <v>28</v>
      </c>
      <c r="T168">
        <v>7.2</v>
      </c>
      <c r="U168" t="s">
        <v>31</v>
      </c>
      <c r="V168" t="s">
        <v>32</v>
      </c>
    </row>
    <row r="169" spans="1:22" x14ac:dyDescent="0.3">
      <c r="A169" t="s">
        <v>296</v>
      </c>
      <c r="B169">
        <v>2025</v>
      </c>
      <c r="C169" t="s">
        <v>104</v>
      </c>
      <c r="D169" t="s">
        <v>81</v>
      </c>
      <c r="E169" t="s">
        <v>82</v>
      </c>
      <c r="F169" t="s">
        <v>64</v>
      </c>
      <c r="G169" t="s">
        <v>45</v>
      </c>
      <c r="H169" t="s">
        <v>31</v>
      </c>
      <c r="I169" t="s">
        <v>46</v>
      </c>
      <c r="J169">
        <v>10</v>
      </c>
      <c r="K169">
        <v>3.6</v>
      </c>
      <c r="L169">
        <v>5</v>
      </c>
      <c r="M169" t="s">
        <v>47</v>
      </c>
      <c r="N169">
        <v>10</v>
      </c>
      <c r="O169">
        <v>132.22</v>
      </c>
      <c r="P169">
        <v>7</v>
      </c>
      <c r="Q169" t="s">
        <v>28</v>
      </c>
      <c r="R169">
        <v>4</v>
      </c>
      <c r="S169" t="s">
        <v>31</v>
      </c>
      <c r="T169">
        <v>6.2</v>
      </c>
      <c r="U169" t="s">
        <v>28</v>
      </c>
      <c r="V169" t="s">
        <v>32</v>
      </c>
    </row>
    <row r="170" spans="1:22" x14ac:dyDescent="0.3">
      <c r="A170" t="s">
        <v>297</v>
      </c>
      <c r="B170">
        <v>2025</v>
      </c>
      <c r="C170" t="s">
        <v>104</v>
      </c>
      <c r="D170" t="s">
        <v>81</v>
      </c>
      <c r="E170" t="s">
        <v>36</v>
      </c>
      <c r="F170" t="s">
        <v>54</v>
      </c>
      <c r="G170" t="s">
        <v>55</v>
      </c>
      <c r="H170" t="s">
        <v>28</v>
      </c>
      <c r="I170" t="s">
        <v>56</v>
      </c>
      <c r="J170">
        <v>14</v>
      </c>
      <c r="K170">
        <v>1.6</v>
      </c>
      <c r="L170">
        <v>-2.2000000000000002</v>
      </c>
      <c r="M170" t="s">
        <v>30</v>
      </c>
      <c r="N170">
        <v>26</v>
      </c>
      <c r="O170">
        <v>36.700000000000003</v>
      </c>
      <c r="P170">
        <v>7</v>
      </c>
      <c r="Q170" t="s">
        <v>28</v>
      </c>
      <c r="R170">
        <v>6</v>
      </c>
      <c r="S170" t="s">
        <v>28</v>
      </c>
      <c r="T170">
        <v>7.3</v>
      </c>
      <c r="U170" t="s">
        <v>28</v>
      </c>
      <c r="V170" t="s">
        <v>51</v>
      </c>
    </row>
    <row r="171" spans="1:22" x14ac:dyDescent="0.3">
      <c r="A171" t="s">
        <v>298</v>
      </c>
      <c r="B171">
        <v>2025</v>
      </c>
      <c r="C171" t="s">
        <v>104</v>
      </c>
      <c r="D171" t="s">
        <v>24</v>
      </c>
      <c r="E171" t="s">
        <v>86</v>
      </c>
      <c r="F171" t="s">
        <v>60</v>
      </c>
      <c r="G171" t="s">
        <v>55</v>
      </c>
      <c r="H171" t="s">
        <v>28</v>
      </c>
      <c r="I171" t="s">
        <v>299</v>
      </c>
      <c r="J171">
        <v>35</v>
      </c>
      <c r="K171">
        <v>3.8</v>
      </c>
      <c r="L171">
        <v>1.3</v>
      </c>
      <c r="M171" t="s">
        <v>30</v>
      </c>
      <c r="N171">
        <v>9</v>
      </c>
      <c r="O171">
        <v>113.05</v>
      </c>
      <c r="P171">
        <v>3</v>
      </c>
      <c r="Q171" t="s">
        <v>28</v>
      </c>
      <c r="R171">
        <v>0</v>
      </c>
      <c r="S171" t="s">
        <v>31</v>
      </c>
      <c r="T171">
        <v>10.7</v>
      </c>
      <c r="U171" t="s">
        <v>31</v>
      </c>
      <c r="V171" t="s">
        <v>125</v>
      </c>
    </row>
    <row r="172" spans="1:22" x14ac:dyDescent="0.3">
      <c r="A172" t="s">
        <v>300</v>
      </c>
      <c r="B172">
        <v>2025</v>
      </c>
      <c r="C172" t="s">
        <v>134</v>
      </c>
      <c r="D172" t="s">
        <v>24</v>
      </c>
      <c r="E172" t="s">
        <v>25</v>
      </c>
      <c r="F172" t="s">
        <v>37</v>
      </c>
      <c r="G172" t="s">
        <v>27</v>
      </c>
      <c r="H172" t="s">
        <v>28</v>
      </c>
      <c r="I172" t="s">
        <v>40</v>
      </c>
      <c r="J172">
        <v>391</v>
      </c>
      <c r="K172">
        <v>0.4</v>
      </c>
      <c r="L172">
        <v>9.5</v>
      </c>
      <c r="M172" t="s">
        <v>144</v>
      </c>
      <c r="N172">
        <v>11</v>
      </c>
      <c r="O172">
        <v>244.38</v>
      </c>
      <c r="P172">
        <v>9</v>
      </c>
      <c r="Q172" t="s">
        <v>28</v>
      </c>
      <c r="R172">
        <v>7</v>
      </c>
      <c r="S172" t="s">
        <v>28</v>
      </c>
      <c r="T172">
        <v>9.9</v>
      </c>
      <c r="U172" t="s">
        <v>41</v>
      </c>
      <c r="V172" t="s">
        <v>32</v>
      </c>
    </row>
    <row r="173" spans="1:22" x14ac:dyDescent="0.3">
      <c r="A173" t="s">
        <v>301</v>
      </c>
      <c r="B173">
        <v>2026</v>
      </c>
      <c r="C173" t="s">
        <v>302</v>
      </c>
      <c r="D173" t="s">
        <v>59</v>
      </c>
      <c r="E173" t="s">
        <v>86</v>
      </c>
      <c r="F173" t="s">
        <v>37</v>
      </c>
      <c r="G173" t="s">
        <v>27</v>
      </c>
      <c r="H173" t="s">
        <v>31</v>
      </c>
      <c r="I173" t="s">
        <v>40</v>
      </c>
      <c r="J173">
        <v>10</v>
      </c>
      <c r="K173">
        <v>5</v>
      </c>
      <c r="L173">
        <v>22.4</v>
      </c>
      <c r="M173" t="s">
        <v>50</v>
      </c>
      <c r="N173">
        <v>12</v>
      </c>
      <c r="O173">
        <v>58.62</v>
      </c>
      <c r="P173">
        <v>9</v>
      </c>
      <c r="Q173" t="s">
        <v>31</v>
      </c>
      <c r="R173">
        <v>7</v>
      </c>
      <c r="S173" t="s">
        <v>31</v>
      </c>
      <c r="T173">
        <v>3.5</v>
      </c>
      <c r="U173" t="s">
        <v>41</v>
      </c>
      <c r="V173" t="s">
        <v>32</v>
      </c>
    </row>
    <row r="174" spans="1:22" x14ac:dyDescent="0.3">
      <c r="A174" t="s">
        <v>303</v>
      </c>
      <c r="B174">
        <v>2024</v>
      </c>
      <c r="C174" t="s">
        <v>74</v>
      </c>
      <c r="D174" t="s">
        <v>81</v>
      </c>
      <c r="E174" t="s">
        <v>36</v>
      </c>
      <c r="F174" t="s">
        <v>37</v>
      </c>
      <c r="G174" t="s">
        <v>55</v>
      </c>
      <c r="H174" t="s">
        <v>31</v>
      </c>
      <c r="I174" t="s">
        <v>40</v>
      </c>
      <c r="J174">
        <v>23</v>
      </c>
      <c r="K174">
        <v>8.8000000000000007</v>
      </c>
      <c r="L174">
        <v>11.4</v>
      </c>
      <c r="M174" t="s">
        <v>30</v>
      </c>
      <c r="N174">
        <v>21</v>
      </c>
      <c r="O174">
        <v>46.47</v>
      </c>
      <c r="P174">
        <v>6</v>
      </c>
      <c r="Q174" t="s">
        <v>28</v>
      </c>
      <c r="R174">
        <v>8</v>
      </c>
      <c r="S174" t="s">
        <v>28</v>
      </c>
      <c r="T174">
        <v>6.6</v>
      </c>
      <c r="U174" t="s">
        <v>41</v>
      </c>
      <c r="V174" t="s">
        <v>32</v>
      </c>
    </row>
    <row r="175" spans="1:22" x14ac:dyDescent="0.3">
      <c r="A175" t="s">
        <v>304</v>
      </c>
      <c r="B175">
        <v>2025</v>
      </c>
      <c r="C175" t="s">
        <v>34</v>
      </c>
      <c r="D175" t="s">
        <v>81</v>
      </c>
      <c r="E175" t="s">
        <v>25</v>
      </c>
      <c r="F175" t="s">
        <v>37</v>
      </c>
      <c r="G175" t="s">
        <v>76</v>
      </c>
      <c r="H175" t="s">
        <v>39</v>
      </c>
      <c r="I175" t="s">
        <v>40</v>
      </c>
      <c r="J175">
        <v>49</v>
      </c>
      <c r="K175">
        <v>23.6</v>
      </c>
      <c r="L175">
        <v>36.1</v>
      </c>
      <c r="M175" t="s">
        <v>50</v>
      </c>
      <c r="N175">
        <v>18</v>
      </c>
      <c r="O175">
        <v>519.66</v>
      </c>
      <c r="P175">
        <v>8</v>
      </c>
      <c r="Q175" t="s">
        <v>41</v>
      </c>
      <c r="R175">
        <v>7</v>
      </c>
      <c r="S175" t="s">
        <v>28</v>
      </c>
      <c r="T175">
        <v>7.5</v>
      </c>
      <c r="U175" t="s">
        <v>28</v>
      </c>
      <c r="V175" t="s">
        <v>72</v>
      </c>
    </row>
    <row r="176" spans="1:22" x14ac:dyDescent="0.3">
      <c r="A176" t="s">
        <v>305</v>
      </c>
      <c r="B176">
        <v>2026</v>
      </c>
      <c r="C176" t="s">
        <v>94</v>
      </c>
      <c r="D176" t="s">
        <v>81</v>
      </c>
      <c r="E176" t="s">
        <v>25</v>
      </c>
      <c r="F176" t="s">
        <v>54</v>
      </c>
      <c r="G176" t="s">
        <v>55</v>
      </c>
      <c r="H176" t="s">
        <v>259</v>
      </c>
      <c r="I176" t="s">
        <v>71</v>
      </c>
      <c r="J176">
        <v>56</v>
      </c>
      <c r="K176">
        <v>3.2</v>
      </c>
      <c r="L176">
        <v>1</v>
      </c>
      <c r="M176" t="s">
        <v>47</v>
      </c>
      <c r="N176">
        <v>20</v>
      </c>
      <c r="O176">
        <v>281.87</v>
      </c>
      <c r="P176">
        <v>6</v>
      </c>
      <c r="Q176" t="s">
        <v>28</v>
      </c>
      <c r="R176">
        <v>5</v>
      </c>
      <c r="S176" t="s">
        <v>31</v>
      </c>
      <c r="T176">
        <v>13.5</v>
      </c>
      <c r="U176" t="s">
        <v>28</v>
      </c>
      <c r="V176" t="s">
        <v>51</v>
      </c>
    </row>
    <row r="177" spans="1:22" x14ac:dyDescent="0.3">
      <c r="A177" t="s">
        <v>306</v>
      </c>
      <c r="B177">
        <v>2025</v>
      </c>
      <c r="C177" t="s">
        <v>104</v>
      </c>
      <c r="D177" t="s">
        <v>81</v>
      </c>
      <c r="E177" t="s">
        <v>82</v>
      </c>
      <c r="F177" t="s">
        <v>26</v>
      </c>
      <c r="G177" t="s">
        <v>27</v>
      </c>
      <c r="H177" t="s">
        <v>31</v>
      </c>
      <c r="I177" t="s">
        <v>71</v>
      </c>
      <c r="J177">
        <v>21</v>
      </c>
      <c r="K177">
        <v>8</v>
      </c>
      <c r="L177">
        <v>15.7</v>
      </c>
      <c r="M177" t="s">
        <v>50</v>
      </c>
      <c r="N177">
        <v>34</v>
      </c>
      <c r="O177">
        <v>73.05</v>
      </c>
      <c r="P177">
        <v>7</v>
      </c>
      <c r="Q177" t="s">
        <v>31</v>
      </c>
      <c r="R177">
        <v>7</v>
      </c>
      <c r="S177" t="s">
        <v>31</v>
      </c>
      <c r="T177">
        <v>8.4</v>
      </c>
      <c r="U177" t="s">
        <v>28</v>
      </c>
      <c r="V177" t="s">
        <v>32</v>
      </c>
    </row>
    <row r="178" spans="1:22" x14ac:dyDescent="0.3">
      <c r="A178" t="s">
        <v>307</v>
      </c>
      <c r="B178">
        <v>2024</v>
      </c>
      <c r="C178" t="s">
        <v>23</v>
      </c>
      <c r="D178" t="s">
        <v>59</v>
      </c>
      <c r="E178" t="s">
        <v>86</v>
      </c>
      <c r="F178" t="s">
        <v>44</v>
      </c>
      <c r="G178" t="s">
        <v>27</v>
      </c>
      <c r="H178" t="s">
        <v>31</v>
      </c>
      <c r="I178" t="s">
        <v>49</v>
      </c>
      <c r="J178">
        <v>22</v>
      </c>
      <c r="K178">
        <v>1.3</v>
      </c>
      <c r="L178">
        <v>-6.6</v>
      </c>
      <c r="M178" t="s">
        <v>47</v>
      </c>
      <c r="N178">
        <v>10</v>
      </c>
      <c r="O178">
        <v>17.59</v>
      </c>
      <c r="P178">
        <v>4</v>
      </c>
      <c r="Q178" t="s">
        <v>39</v>
      </c>
      <c r="R178">
        <v>3</v>
      </c>
      <c r="S178" t="s">
        <v>41</v>
      </c>
      <c r="T178">
        <v>8.6</v>
      </c>
      <c r="U178" t="s">
        <v>31</v>
      </c>
      <c r="V178" t="s">
        <v>125</v>
      </c>
    </row>
    <row r="179" spans="1:22" x14ac:dyDescent="0.3">
      <c r="A179" t="s">
        <v>308</v>
      </c>
      <c r="B179">
        <v>2024</v>
      </c>
      <c r="C179" t="s">
        <v>68</v>
      </c>
      <c r="D179" t="s">
        <v>24</v>
      </c>
      <c r="E179" t="s">
        <v>25</v>
      </c>
      <c r="F179" t="s">
        <v>75</v>
      </c>
      <c r="G179" t="s">
        <v>27</v>
      </c>
      <c r="H179" t="s">
        <v>28</v>
      </c>
      <c r="I179" t="s">
        <v>49</v>
      </c>
      <c r="J179">
        <v>77</v>
      </c>
      <c r="K179">
        <v>13.6</v>
      </c>
      <c r="L179">
        <v>10.7</v>
      </c>
      <c r="M179" t="s">
        <v>144</v>
      </c>
      <c r="N179">
        <v>57</v>
      </c>
      <c r="O179">
        <v>63.37</v>
      </c>
      <c r="P179">
        <v>7</v>
      </c>
      <c r="Q179" t="s">
        <v>28</v>
      </c>
      <c r="R179">
        <v>5</v>
      </c>
      <c r="S179" t="s">
        <v>28</v>
      </c>
      <c r="T179">
        <v>14.1</v>
      </c>
      <c r="U179" t="s">
        <v>41</v>
      </c>
      <c r="V179" t="s">
        <v>32</v>
      </c>
    </row>
    <row r="180" spans="1:22" x14ac:dyDescent="0.3">
      <c r="A180" t="s">
        <v>309</v>
      </c>
      <c r="B180">
        <v>2026</v>
      </c>
      <c r="C180" t="s">
        <v>104</v>
      </c>
      <c r="D180" t="s">
        <v>156</v>
      </c>
      <c r="E180" t="s">
        <v>82</v>
      </c>
      <c r="F180" t="s">
        <v>132</v>
      </c>
      <c r="G180" t="s">
        <v>55</v>
      </c>
      <c r="H180" t="s">
        <v>28</v>
      </c>
      <c r="I180" t="s">
        <v>71</v>
      </c>
      <c r="J180">
        <v>105</v>
      </c>
      <c r="K180">
        <v>26</v>
      </c>
      <c r="L180">
        <v>42.3</v>
      </c>
      <c r="M180" t="s">
        <v>144</v>
      </c>
      <c r="N180">
        <v>37</v>
      </c>
      <c r="O180">
        <v>98.23</v>
      </c>
      <c r="P180">
        <v>10</v>
      </c>
      <c r="Q180" t="s">
        <v>31</v>
      </c>
      <c r="R180">
        <v>8</v>
      </c>
      <c r="S180" t="s">
        <v>91</v>
      </c>
      <c r="T180">
        <v>5.5</v>
      </c>
      <c r="U180" t="s">
        <v>41</v>
      </c>
      <c r="V180" t="s">
        <v>72</v>
      </c>
    </row>
    <row r="181" spans="1:22" x14ac:dyDescent="0.3">
      <c r="A181" t="s">
        <v>310</v>
      </c>
      <c r="B181">
        <v>2026</v>
      </c>
      <c r="C181" t="s">
        <v>129</v>
      </c>
      <c r="D181" t="s">
        <v>81</v>
      </c>
      <c r="E181" t="s">
        <v>82</v>
      </c>
      <c r="F181" t="s">
        <v>87</v>
      </c>
      <c r="G181" t="s">
        <v>27</v>
      </c>
      <c r="H181" t="s">
        <v>28</v>
      </c>
      <c r="I181" t="s">
        <v>71</v>
      </c>
      <c r="J181">
        <v>67</v>
      </c>
      <c r="K181">
        <v>9.4</v>
      </c>
      <c r="L181">
        <v>23.4</v>
      </c>
      <c r="M181" t="s">
        <v>144</v>
      </c>
      <c r="N181">
        <v>45</v>
      </c>
      <c r="O181">
        <v>265.99</v>
      </c>
      <c r="P181">
        <v>6</v>
      </c>
      <c r="Q181" t="s">
        <v>28</v>
      </c>
      <c r="R181">
        <v>7</v>
      </c>
      <c r="S181" t="s">
        <v>91</v>
      </c>
      <c r="T181">
        <v>10.3</v>
      </c>
      <c r="U181" t="s">
        <v>31</v>
      </c>
      <c r="V181" t="s">
        <v>51</v>
      </c>
    </row>
    <row r="182" spans="1:22" x14ac:dyDescent="0.3">
      <c r="A182" t="s">
        <v>311</v>
      </c>
      <c r="B182">
        <v>2025</v>
      </c>
      <c r="C182" t="s">
        <v>101</v>
      </c>
      <c r="D182" t="s">
        <v>24</v>
      </c>
      <c r="E182" t="s">
        <v>25</v>
      </c>
      <c r="F182" t="s">
        <v>37</v>
      </c>
      <c r="G182" t="s">
        <v>27</v>
      </c>
      <c r="H182" t="s">
        <v>28</v>
      </c>
      <c r="I182" t="s">
        <v>40</v>
      </c>
      <c r="J182">
        <v>14</v>
      </c>
      <c r="K182">
        <v>10.3</v>
      </c>
      <c r="L182">
        <v>19.7</v>
      </c>
      <c r="M182" t="s">
        <v>144</v>
      </c>
      <c r="N182">
        <v>52</v>
      </c>
      <c r="O182">
        <v>104.53</v>
      </c>
      <c r="P182">
        <v>9</v>
      </c>
      <c r="Q182" t="s">
        <v>31</v>
      </c>
      <c r="R182">
        <v>5</v>
      </c>
      <c r="S182" t="s">
        <v>28</v>
      </c>
      <c r="T182">
        <v>5.8</v>
      </c>
      <c r="U182" t="s">
        <v>41</v>
      </c>
      <c r="V182" t="s">
        <v>72</v>
      </c>
    </row>
    <row r="183" spans="1:22" x14ac:dyDescent="0.3">
      <c r="A183" t="s">
        <v>312</v>
      </c>
      <c r="B183">
        <v>2025</v>
      </c>
      <c r="C183" t="s">
        <v>117</v>
      </c>
      <c r="D183" t="s">
        <v>69</v>
      </c>
      <c r="E183" t="s">
        <v>86</v>
      </c>
      <c r="F183" t="s">
        <v>113</v>
      </c>
      <c r="G183" t="s">
        <v>38</v>
      </c>
      <c r="H183" t="s">
        <v>31</v>
      </c>
      <c r="I183" t="s">
        <v>56</v>
      </c>
      <c r="J183">
        <v>40</v>
      </c>
      <c r="K183">
        <v>5.4</v>
      </c>
      <c r="L183">
        <v>-5.4</v>
      </c>
      <c r="M183" t="s">
        <v>144</v>
      </c>
      <c r="N183">
        <v>10</v>
      </c>
      <c r="O183">
        <v>12.74</v>
      </c>
      <c r="P183">
        <v>6</v>
      </c>
      <c r="Q183" t="s">
        <v>31</v>
      </c>
      <c r="R183">
        <v>6</v>
      </c>
      <c r="S183" t="s">
        <v>28</v>
      </c>
      <c r="T183">
        <v>6.3</v>
      </c>
      <c r="U183" t="s">
        <v>28</v>
      </c>
      <c r="V183" t="s">
        <v>51</v>
      </c>
    </row>
    <row r="184" spans="1:22" x14ac:dyDescent="0.3">
      <c r="A184" t="s">
        <v>313</v>
      </c>
      <c r="B184">
        <v>2026</v>
      </c>
      <c r="C184" t="s">
        <v>80</v>
      </c>
      <c r="D184" t="s">
        <v>102</v>
      </c>
      <c r="E184" t="s">
        <v>82</v>
      </c>
      <c r="F184" t="s">
        <v>64</v>
      </c>
      <c r="G184" t="s">
        <v>38</v>
      </c>
      <c r="H184" t="s">
        <v>31</v>
      </c>
      <c r="I184" t="s">
        <v>46</v>
      </c>
      <c r="J184">
        <v>26</v>
      </c>
      <c r="K184">
        <v>7.7</v>
      </c>
      <c r="L184">
        <v>29.5</v>
      </c>
      <c r="M184" t="s">
        <v>50</v>
      </c>
      <c r="N184">
        <v>27</v>
      </c>
      <c r="O184">
        <v>99.35</v>
      </c>
      <c r="P184">
        <v>5</v>
      </c>
      <c r="Q184" t="s">
        <v>28</v>
      </c>
      <c r="R184">
        <v>7</v>
      </c>
      <c r="S184" t="s">
        <v>28</v>
      </c>
      <c r="T184">
        <v>3</v>
      </c>
      <c r="U184" t="s">
        <v>31</v>
      </c>
      <c r="V184" t="s">
        <v>314</v>
      </c>
    </row>
    <row r="185" spans="1:22" hidden="1" x14ac:dyDescent="0.3">
      <c r="A185" t="s">
        <v>315</v>
      </c>
      <c r="B185">
        <v>2025</v>
      </c>
      <c r="C185" t="s">
        <v>104</v>
      </c>
      <c r="D185" t="s">
        <v>85</v>
      </c>
      <c r="E185" t="s">
        <v>25</v>
      </c>
      <c r="F185" t="s">
        <v>75</v>
      </c>
      <c r="G185" t="s">
        <v>38</v>
      </c>
      <c r="H185" t="s">
        <v>114</v>
      </c>
      <c r="I185" t="s">
        <v>115</v>
      </c>
      <c r="J185">
        <v>0</v>
      </c>
      <c r="K185">
        <v>0</v>
      </c>
      <c r="L185">
        <v>-2.7</v>
      </c>
      <c r="M185" t="s">
        <v>47</v>
      </c>
      <c r="N185">
        <v>0</v>
      </c>
      <c r="O185">
        <v>0</v>
      </c>
      <c r="P185">
        <v>6</v>
      </c>
      <c r="Q185" t="s">
        <v>31</v>
      </c>
      <c r="R185">
        <v>5</v>
      </c>
      <c r="S185" t="s">
        <v>41</v>
      </c>
      <c r="U185" t="s">
        <v>31</v>
      </c>
      <c r="V185" t="s">
        <v>32</v>
      </c>
    </row>
    <row r="186" spans="1:22" x14ac:dyDescent="0.3">
      <c r="A186" t="s">
        <v>316</v>
      </c>
      <c r="B186">
        <v>2025</v>
      </c>
      <c r="C186" t="s">
        <v>94</v>
      </c>
      <c r="D186" t="s">
        <v>24</v>
      </c>
      <c r="E186" t="s">
        <v>86</v>
      </c>
      <c r="F186" t="s">
        <v>60</v>
      </c>
      <c r="G186" t="s">
        <v>76</v>
      </c>
      <c r="H186" t="s">
        <v>28</v>
      </c>
      <c r="I186" t="s">
        <v>61</v>
      </c>
      <c r="J186">
        <v>29</v>
      </c>
      <c r="K186">
        <v>4.5</v>
      </c>
      <c r="L186">
        <v>14.6</v>
      </c>
      <c r="M186" t="s">
        <v>30</v>
      </c>
      <c r="N186">
        <v>6</v>
      </c>
      <c r="O186">
        <v>64.12</v>
      </c>
      <c r="P186">
        <v>7</v>
      </c>
      <c r="Q186" t="s">
        <v>28</v>
      </c>
      <c r="R186">
        <v>4</v>
      </c>
      <c r="S186" t="s">
        <v>28</v>
      </c>
      <c r="T186">
        <v>11.9</v>
      </c>
      <c r="U186" t="s">
        <v>28</v>
      </c>
      <c r="V186" t="s">
        <v>51</v>
      </c>
    </row>
    <row r="187" spans="1:22" x14ac:dyDescent="0.3">
      <c r="A187" t="s">
        <v>317</v>
      </c>
      <c r="B187">
        <v>2025</v>
      </c>
      <c r="C187" t="s">
        <v>217</v>
      </c>
      <c r="D187" t="s">
        <v>24</v>
      </c>
      <c r="E187" t="s">
        <v>36</v>
      </c>
      <c r="F187" t="s">
        <v>60</v>
      </c>
      <c r="G187" t="s">
        <v>55</v>
      </c>
      <c r="H187" t="s">
        <v>41</v>
      </c>
      <c r="I187" t="s">
        <v>61</v>
      </c>
      <c r="J187">
        <v>6</v>
      </c>
      <c r="K187">
        <v>2.1</v>
      </c>
      <c r="L187">
        <v>6.4</v>
      </c>
      <c r="M187" t="s">
        <v>30</v>
      </c>
      <c r="N187">
        <v>3</v>
      </c>
      <c r="O187">
        <v>16.55</v>
      </c>
      <c r="P187">
        <v>6</v>
      </c>
      <c r="Q187" t="s">
        <v>28</v>
      </c>
      <c r="R187">
        <v>6</v>
      </c>
      <c r="S187" t="s">
        <v>31</v>
      </c>
      <c r="T187">
        <v>16.7</v>
      </c>
      <c r="U187" t="s">
        <v>28</v>
      </c>
      <c r="V187" t="s">
        <v>51</v>
      </c>
    </row>
    <row r="188" spans="1:22" x14ac:dyDescent="0.3">
      <c r="A188" t="s">
        <v>318</v>
      </c>
      <c r="B188">
        <v>2026</v>
      </c>
      <c r="C188" t="s">
        <v>53</v>
      </c>
      <c r="D188" t="s">
        <v>24</v>
      </c>
      <c r="E188" t="s">
        <v>36</v>
      </c>
      <c r="F188" t="s">
        <v>70</v>
      </c>
      <c r="G188" t="s">
        <v>27</v>
      </c>
      <c r="H188" t="s">
        <v>28</v>
      </c>
      <c r="I188" t="s">
        <v>49</v>
      </c>
      <c r="J188">
        <v>59</v>
      </c>
      <c r="K188">
        <v>16</v>
      </c>
      <c r="L188">
        <v>26.4</v>
      </c>
      <c r="M188" t="s">
        <v>50</v>
      </c>
      <c r="N188">
        <v>19</v>
      </c>
      <c r="O188">
        <v>42.37</v>
      </c>
      <c r="P188">
        <v>7</v>
      </c>
      <c r="Q188" t="s">
        <v>39</v>
      </c>
      <c r="R188">
        <v>6</v>
      </c>
      <c r="S188" t="s">
        <v>31</v>
      </c>
      <c r="T188">
        <v>9</v>
      </c>
      <c r="U188" t="s">
        <v>31</v>
      </c>
      <c r="V188" t="s">
        <v>51</v>
      </c>
    </row>
    <row r="189" spans="1:22" x14ac:dyDescent="0.3">
      <c r="A189" t="s">
        <v>319</v>
      </c>
      <c r="B189">
        <v>2026</v>
      </c>
      <c r="C189" t="s">
        <v>74</v>
      </c>
      <c r="D189" t="s">
        <v>69</v>
      </c>
      <c r="E189" t="s">
        <v>36</v>
      </c>
      <c r="F189" t="s">
        <v>120</v>
      </c>
      <c r="G189" t="s">
        <v>55</v>
      </c>
      <c r="H189" t="s">
        <v>31</v>
      </c>
      <c r="I189" t="s">
        <v>90</v>
      </c>
      <c r="J189">
        <v>19</v>
      </c>
      <c r="K189">
        <v>2.9</v>
      </c>
      <c r="L189">
        <v>8.6999999999999993</v>
      </c>
      <c r="M189" t="s">
        <v>30</v>
      </c>
      <c r="N189">
        <v>35</v>
      </c>
      <c r="O189">
        <v>18.05</v>
      </c>
      <c r="P189">
        <v>8</v>
      </c>
      <c r="Q189" t="s">
        <v>31</v>
      </c>
      <c r="R189">
        <v>5</v>
      </c>
      <c r="S189" t="s">
        <v>28</v>
      </c>
      <c r="T189">
        <v>16.3</v>
      </c>
      <c r="U189" t="s">
        <v>31</v>
      </c>
      <c r="V189" t="s">
        <v>32</v>
      </c>
    </row>
    <row r="190" spans="1:22" x14ac:dyDescent="0.3">
      <c r="A190" t="s">
        <v>320</v>
      </c>
      <c r="B190">
        <v>2024</v>
      </c>
      <c r="C190" t="s">
        <v>134</v>
      </c>
      <c r="D190" t="s">
        <v>102</v>
      </c>
      <c r="E190" t="s">
        <v>86</v>
      </c>
      <c r="F190" t="s">
        <v>98</v>
      </c>
      <c r="G190" t="s">
        <v>27</v>
      </c>
      <c r="H190" t="s">
        <v>41</v>
      </c>
      <c r="I190" t="s">
        <v>49</v>
      </c>
      <c r="J190">
        <v>0</v>
      </c>
      <c r="K190">
        <v>0.7</v>
      </c>
      <c r="L190">
        <v>-3.9</v>
      </c>
      <c r="M190" t="s">
        <v>47</v>
      </c>
      <c r="N190">
        <v>0</v>
      </c>
      <c r="O190">
        <v>14.48</v>
      </c>
      <c r="P190">
        <v>5</v>
      </c>
      <c r="Q190" t="s">
        <v>28</v>
      </c>
      <c r="R190">
        <v>4</v>
      </c>
      <c r="S190" t="s">
        <v>41</v>
      </c>
      <c r="T190">
        <v>8.6999999999999993</v>
      </c>
      <c r="U190" t="s">
        <v>41</v>
      </c>
      <c r="V190" t="s">
        <v>51</v>
      </c>
    </row>
    <row r="191" spans="1:22" x14ac:dyDescent="0.3">
      <c r="A191" t="s">
        <v>321</v>
      </c>
      <c r="B191">
        <v>2026</v>
      </c>
      <c r="C191" t="s">
        <v>117</v>
      </c>
      <c r="D191" t="s">
        <v>102</v>
      </c>
      <c r="E191" t="s">
        <v>36</v>
      </c>
      <c r="F191" t="s">
        <v>54</v>
      </c>
      <c r="G191" t="s">
        <v>55</v>
      </c>
      <c r="H191" t="s">
        <v>31</v>
      </c>
      <c r="I191" t="s">
        <v>56</v>
      </c>
      <c r="J191">
        <v>18</v>
      </c>
      <c r="K191">
        <v>2.6</v>
      </c>
      <c r="L191">
        <v>-10</v>
      </c>
      <c r="M191" t="s">
        <v>30</v>
      </c>
      <c r="N191">
        <v>3</v>
      </c>
      <c r="O191">
        <v>43.57</v>
      </c>
      <c r="P191">
        <v>7</v>
      </c>
      <c r="Q191" t="s">
        <v>28</v>
      </c>
      <c r="R191">
        <v>4</v>
      </c>
      <c r="S191" t="s">
        <v>31</v>
      </c>
      <c r="T191">
        <v>11.5</v>
      </c>
      <c r="U191" t="s">
        <v>28</v>
      </c>
      <c r="V191" t="s">
        <v>32</v>
      </c>
    </row>
    <row r="192" spans="1:22" x14ac:dyDescent="0.3">
      <c r="A192" t="s">
        <v>322</v>
      </c>
      <c r="B192">
        <v>2024</v>
      </c>
      <c r="C192" t="s">
        <v>94</v>
      </c>
      <c r="D192" t="s">
        <v>24</v>
      </c>
      <c r="E192" t="s">
        <v>25</v>
      </c>
      <c r="F192" t="s">
        <v>64</v>
      </c>
      <c r="G192" t="s">
        <v>55</v>
      </c>
      <c r="H192" t="s">
        <v>31</v>
      </c>
      <c r="I192" t="s">
        <v>46</v>
      </c>
      <c r="J192">
        <v>12</v>
      </c>
      <c r="K192">
        <v>2.6</v>
      </c>
      <c r="L192">
        <v>12.1</v>
      </c>
      <c r="M192" t="s">
        <v>30</v>
      </c>
      <c r="N192">
        <v>43</v>
      </c>
      <c r="O192">
        <v>62.77</v>
      </c>
      <c r="P192">
        <v>9</v>
      </c>
      <c r="Q192" t="s">
        <v>28</v>
      </c>
      <c r="R192">
        <v>5</v>
      </c>
      <c r="S192" t="s">
        <v>31</v>
      </c>
      <c r="T192">
        <v>5</v>
      </c>
      <c r="U192" t="s">
        <v>41</v>
      </c>
      <c r="V192" t="s">
        <v>32</v>
      </c>
    </row>
    <row r="193" spans="1:22" x14ac:dyDescent="0.3">
      <c r="A193" t="s">
        <v>323</v>
      </c>
      <c r="B193">
        <v>2025</v>
      </c>
      <c r="C193" t="s">
        <v>53</v>
      </c>
      <c r="D193" t="s">
        <v>63</v>
      </c>
      <c r="E193" t="s">
        <v>86</v>
      </c>
      <c r="F193" t="s">
        <v>60</v>
      </c>
      <c r="G193" t="s">
        <v>38</v>
      </c>
      <c r="H193" t="s">
        <v>41</v>
      </c>
      <c r="I193" t="s">
        <v>61</v>
      </c>
      <c r="J193">
        <v>6</v>
      </c>
      <c r="K193">
        <v>1.4</v>
      </c>
      <c r="L193">
        <v>2.8</v>
      </c>
      <c r="M193" t="s">
        <v>30</v>
      </c>
      <c r="N193">
        <v>13</v>
      </c>
      <c r="O193">
        <v>22.11</v>
      </c>
      <c r="P193">
        <v>4</v>
      </c>
      <c r="Q193" t="s">
        <v>39</v>
      </c>
      <c r="R193">
        <v>5</v>
      </c>
      <c r="S193" t="s">
        <v>31</v>
      </c>
      <c r="T193">
        <v>11.2</v>
      </c>
      <c r="U193" t="s">
        <v>28</v>
      </c>
      <c r="V193" t="s">
        <v>51</v>
      </c>
    </row>
    <row r="194" spans="1:22" x14ac:dyDescent="0.3">
      <c r="A194" t="s">
        <v>324</v>
      </c>
      <c r="B194">
        <v>2024</v>
      </c>
      <c r="C194" t="s">
        <v>53</v>
      </c>
      <c r="D194" t="s">
        <v>69</v>
      </c>
      <c r="E194" t="s">
        <v>36</v>
      </c>
      <c r="F194" t="s">
        <v>105</v>
      </c>
      <c r="G194" t="s">
        <v>55</v>
      </c>
      <c r="H194" t="s">
        <v>41</v>
      </c>
      <c r="I194" t="s">
        <v>49</v>
      </c>
      <c r="J194">
        <v>6</v>
      </c>
      <c r="K194">
        <v>1.9</v>
      </c>
      <c r="L194">
        <v>7.6</v>
      </c>
      <c r="M194" t="s">
        <v>47</v>
      </c>
      <c r="N194">
        <v>3</v>
      </c>
      <c r="O194">
        <v>15.7</v>
      </c>
      <c r="P194">
        <v>6</v>
      </c>
      <c r="Q194" t="s">
        <v>31</v>
      </c>
      <c r="R194">
        <v>3</v>
      </c>
      <c r="S194" t="s">
        <v>41</v>
      </c>
      <c r="T194">
        <v>14.5</v>
      </c>
      <c r="U194" t="s">
        <v>28</v>
      </c>
      <c r="V194" t="s">
        <v>51</v>
      </c>
    </row>
    <row r="195" spans="1:22" x14ac:dyDescent="0.3">
      <c r="A195" t="s">
        <v>325</v>
      </c>
      <c r="B195">
        <v>2024</v>
      </c>
      <c r="C195" t="s">
        <v>217</v>
      </c>
      <c r="D195" t="s">
        <v>89</v>
      </c>
      <c r="E195" t="s">
        <v>86</v>
      </c>
      <c r="F195" t="s">
        <v>37</v>
      </c>
      <c r="G195" t="s">
        <v>38</v>
      </c>
      <c r="H195" t="s">
        <v>41</v>
      </c>
      <c r="I195" t="s">
        <v>40</v>
      </c>
      <c r="J195">
        <v>3</v>
      </c>
      <c r="K195">
        <v>0.7</v>
      </c>
      <c r="L195">
        <v>1.7</v>
      </c>
      <c r="M195" t="s">
        <v>30</v>
      </c>
      <c r="N195">
        <v>6</v>
      </c>
      <c r="O195">
        <v>21.31</v>
      </c>
      <c r="P195">
        <v>7</v>
      </c>
      <c r="Q195" t="s">
        <v>28</v>
      </c>
      <c r="R195">
        <v>4</v>
      </c>
      <c r="S195" t="s">
        <v>41</v>
      </c>
      <c r="T195">
        <v>6.1</v>
      </c>
      <c r="U195" t="s">
        <v>31</v>
      </c>
      <c r="V195" t="s">
        <v>32</v>
      </c>
    </row>
    <row r="196" spans="1:22" x14ac:dyDescent="0.3">
      <c r="A196" t="s">
        <v>326</v>
      </c>
      <c r="B196">
        <v>2026</v>
      </c>
      <c r="C196" t="s">
        <v>327</v>
      </c>
      <c r="D196" t="s">
        <v>81</v>
      </c>
      <c r="E196" t="s">
        <v>36</v>
      </c>
      <c r="F196" t="s">
        <v>105</v>
      </c>
      <c r="G196" t="s">
        <v>55</v>
      </c>
      <c r="H196" t="s">
        <v>39</v>
      </c>
      <c r="I196" t="s">
        <v>71</v>
      </c>
      <c r="J196">
        <v>107</v>
      </c>
      <c r="K196">
        <v>12.7</v>
      </c>
      <c r="L196">
        <v>13.1</v>
      </c>
      <c r="M196" t="s">
        <v>50</v>
      </c>
      <c r="N196">
        <v>19</v>
      </c>
      <c r="O196">
        <v>156.27000000000001</v>
      </c>
      <c r="P196">
        <v>6</v>
      </c>
      <c r="Q196" t="s">
        <v>31</v>
      </c>
      <c r="R196">
        <v>7</v>
      </c>
      <c r="S196" t="s">
        <v>91</v>
      </c>
      <c r="T196">
        <v>11.2</v>
      </c>
      <c r="U196" t="s">
        <v>31</v>
      </c>
      <c r="V196" t="s">
        <v>32</v>
      </c>
    </row>
    <row r="197" spans="1:22" x14ac:dyDescent="0.3">
      <c r="A197" t="s">
        <v>328</v>
      </c>
      <c r="B197">
        <v>2026</v>
      </c>
      <c r="C197" t="s">
        <v>104</v>
      </c>
      <c r="D197" t="s">
        <v>81</v>
      </c>
      <c r="E197" t="s">
        <v>25</v>
      </c>
      <c r="F197" t="s">
        <v>87</v>
      </c>
      <c r="G197" t="s">
        <v>27</v>
      </c>
      <c r="H197" t="s">
        <v>39</v>
      </c>
      <c r="I197" t="s">
        <v>71</v>
      </c>
      <c r="J197">
        <v>74</v>
      </c>
      <c r="K197">
        <v>22.7</v>
      </c>
      <c r="L197">
        <v>43.7</v>
      </c>
      <c r="M197" t="s">
        <v>50</v>
      </c>
      <c r="N197">
        <v>45</v>
      </c>
      <c r="O197">
        <v>167.16</v>
      </c>
      <c r="P197">
        <v>8</v>
      </c>
      <c r="Q197" t="s">
        <v>31</v>
      </c>
      <c r="R197">
        <v>6</v>
      </c>
      <c r="S197" t="s">
        <v>28</v>
      </c>
      <c r="T197">
        <v>7.8</v>
      </c>
      <c r="U197" t="s">
        <v>41</v>
      </c>
      <c r="V197" t="s">
        <v>72</v>
      </c>
    </row>
    <row r="198" spans="1:22" x14ac:dyDescent="0.3">
      <c r="A198" t="s">
        <v>329</v>
      </c>
      <c r="B198">
        <v>2026</v>
      </c>
      <c r="C198" t="s">
        <v>196</v>
      </c>
      <c r="D198" t="s">
        <v>330</v>
      </c>
      <c r="E198" t="s">
        <v>331</v>
      </c>
      <c r="F198" t="s">
        <v>75</v>
      </c>
      <c r="G198" t="s">
        <v>55</v>
      </c>
      <c r="H198" t="s">
        <v>28</v>
      </c>
      <c r="I198" t="s">
        <v>46</v>
      </c>
      <c r="J198">
        <v>89</v>
      </c>
      <c r="K198">
        <v>15.3</v>
      </c>
      <c r="L198">
        <v>45.1</v>
      </c>
      <c r="M198" t="s">
        <v>144</v>
      </c>
      <c r="N198">
        <v>21</v>
      </c>
      <c r="O198">
        <v>128.18</v>
      </c>
      <c r="P198">
        <v>10</v>
      </c>
      <c r="Q198" t="s">
        <v>28</v>
      </c>
      <c r="R198">
        <v>7</v>
      </c>
      <c r="S198" t="s">
        <v>28</v>
      </c>
      <c r="T198">
        <v>7.7</v>
      </c>
      <c r="U198" t="s">
        <v>41</v>
      </c>
      <c r="V198" t="s">
        <v>72</v>
      </c>
    </row>
    <row r="199" spans="1:22" x14ac:dyDescent="0.3">
      <c r="A199" t="s">
        <v>332</v>
      </c>
      <c r="B199">
        <v>2024</v>
      </c>
      <c r="C199" t="s">
        <v>74</v>
      </c>
      <c r="D199" t="s">
        <v>89</v>
      </c>
      <c r="E199" t="s">
        <v>82</v>
      </c>
      <c r="F199" t="s">
        <v>70</v>
      </c>
      <c r="G199" t="s">
        <v>55</v>
      </c>
      <c r="H199" t="s">
        <v>28</v>
      </c>
      <c r="I199" t="s">
        <v>49</v>
      </c>
      <c r="J199">
        <v>34</v>
      </c>
      <c r="K199">
        <v>2.5</v>
      </c>
      <c r="L199">
        <v>7.2</v>
      </c>
      <c r="M199" t="s">
        <v>30</v>
      </c>
      <c r="N199">
        <v>19</v>
      </c>
      <c r="O199">
        <v>76.17</v>
      </c>
      <c r="P199">
        <v>4</v>
      </c>
      <c r="Q199" t="s">
        <v>39</v>
      </c>
      <c r="R199">
        <v>6</v>
      </c>
      <c r="S199" t="s">
        <v>31</v>
      </c>
      <c r="T199">
        <v>8.5</v>
      </c>
      <c r="U199" t="s">
        <v>31</v>
      </c>
      <c r="V199" t="s">
        <v>51</v>
      </c>
    </row>
    <row r="200" spans="1:22" x14ac:dyDescent="0.3">
      <c r="A200" t="s">
        <v>333</v>
      </c>
      <c r="B200">
        <v>2026</v>
      </c>
      <c r="C200" t="s">
        <v>74</v>
      </c>
      <c r="D200" t="s">
        <v>85</v>
      </c>
      <c r="E200" t="s">
        <v>25</v>
      </c>
      <c r="F200" t="s">
        <v>70</v>
      </c>
      <c r="G200" t="s">
        <v>55</v>
      </c>
      <c r="H200" t="s">
        <v>31</v>
      </c>
      <c r="I200" t="s">
        <v>71</v>
      </c>
      <c r="J200">
        <v>28</v>
      </c>
      <c r="K200">
        <v>14.1</v>
      </c>
      <c r="L200">
        <v>17.600000000000001</v>
      </c>
      <c r="M200" t="s">
        <v>144</v>
      </c>
      <c r="N200">
        <v>63</v>
      </c>
      <c r="O200">
        <v>124.46</v>
      </c>
      <c r="P200">
        <v>0</v>
      </c>
      <c r="Q200" t="s">
        <v>31</v>
      </c>
      <c r="R200">
        <v>5</v>
      </c>
      <c r="S200" t="s">
        <v>91</v>
      </c>
      <c r="T200">
        <v>7</v>
      </c>
      <c r="U200" t="s">
        <v>31</v>
      </c>
      <c r="V200" t="s">
        <v>72</v>
      </c>
    </row>
    <row r="201" spans="1:22" x14ac:dyDescent="0.3">
      <c r="A201" t="s">
        <v>334</v>
      </c>
      <c r="B201">
        <v>2026</v>
      </c>
      <c r="C201" t="s">
        <v>101</v>
      </c>
      <c r="D201" t="s">
        <v>89</v>
      </c>
      <c r="E201" t="s">
        <v>25</v>
      </c>
      <c r="F201" t="s">
        <v>37</v>
      </c>
      <c r="G201" t="s">
        <v>55</v>
      </c>
      <c r="H201" t="s">
        <v>28</v>
      </c>
      <c r="I201" t="s">
        <v>71</v>
      </c>
      <c r="J201">
        <v>65</v>
      </c>
      <c r="K201">
        <v>22.4</v>
      </c>
      <c r="L201">
        <v>18.8</v>
      </c>
      <c r="M201" t="s">
        <v>144</v>
      </c>
      <c r="N201">
        <v>18</v>
      </c>
      <c r="O201">
        <v>185.99</v>
      </c>
      <c r="P201">
        <v>9</v>
      </c>
      <c r="Q201" t="s">
        <v>31</v>
      </c>
      <c r="R201">
        <v>6</v>
      </c>
      <c r="S201" t="s">
        <v>28</v>
      </c>
      <c r="T201">
        <v>5.5</v>
      </c>
      <c r="U201" t="s">
        <v>41</v>
      </c>
      <c r="V201" t="s">
        <v>72</v>
      </c>
    </row>
    <row r="202" spans="1:22" x14ac:dyDescent="0.3">
      <c r="A202" t="s">
        <v>335</v>
      </c>
      <c r="B202">
        <v>2024</v>
      </c>
      <c r="C202" t="s">
        <v>58</v>
      </c>
      <c r="D202" t="s">
        <v>63</v>
      </c>
      <c r="E202" t="s">
        <v>86</v>
      </c>
      <c r="F202" t="s">
        <v>64</v>
      </c>
      <c r="G202" t="s">
        <v>55</v>
      </c>
      <c r="H202" t="s">
        <v>31</v>
      </c>
      <c r="I202" t="s">
        <v>65</v>
      </c>
      <c r="J202">
        <v>6</v>
      </c>
      <c r="K202">
        <v>2.4</v>
      </c>
      <c r="L202">
        <v>-0.9</v>
      </c>
      <c r="M202" t="s">
        <v>47</v>
      </c>
      <c r="N202">
        <v>0</v>
      </c>
      <c r="O202">
        <v>24.13</v>
      </c>
      <c r="P202">
        <v>7</v>
      </c>
      <c r="Q202" t="s">
        <v>31</v>
      </c>
      <c r="R202">
        <v>3</v>
      </c>
      <c r="S202" t="s">
        <v>41</v>
      </c>
      <c r="T202">
        <v>14.9</v>
      </c>
      <c r="U202" t="s">
        <v>41</v>
      </c>
      <c r="V202" t="s">
        <v>51</v>
      </c>
    </row>
    <row r="203" spans="1:22" x14ac:dyDescent="0.3">
      <c r="A203" t="s">
        <v>336</v>
      </c>
      <c r="B203">
        <v>2026</v>
      </c>
      <c r="C203" t="s">
        <v>74</v>
      </c>
      <c r="D203" t="s">
        <v>69</v>
      </c>
      <c r="E203" t="s">
        <v>36</v>
      </c>
      <c r="F203" t="s">
        <v>105</v>
      </c>
      <c r="G203" t="s">
        <v>55</v>
      </c>
      <c r="H203" t="s">
        <v>39</v>
      </c>
      <c r="I203" t="s">
        <v>49</v>
      </c>
      <c r="J203">
        <v>63</v>
      </c>
      <c r="K203">
        <v>19.7</v>
      </c>
      <c r="L203">
        <v>25.8</v>
      </c>
      <c r="M203" t="s">
        <v>50</v>
      </c>
      <c r="N203">
        <v>12</v>
      </c>
      <c r="O203">
        <v>96.87</v>
      </c>
      <c r="P203">
        <v>4</v>
      </c>
      <c r="Q203" t="s">
        <v>28</v>
      </c>
      <c r="R203">
        <v>4</v>
      </c>
      <c r="S203" t="s">
        <v>28</v>
      </c>
      <c r="T203">
        <v>11.7</v>
      </c>
      <c r="U203" t="s">
        <v>39</v>
      </c>
      <c r="V203" t="s">
        <v>51</v>
      </c>
    </row>
    <row r="204" spans="1:22" x14ac:dyDescent="0.3">
      <c r="A204" t="s">
        <v>337</v>
      </c>
      <c r="B204">
        <v>2026</v>
      </c>
      <c r="C204" t="s">
        <v>74</v>
      </c>
      <c r="D204" t="s">
        <v>85</v>
      </c>
      <c r="E204" t="s">
        <v>25</v>
      </c>
      <c r="F204" t="s">
        <v>44</v>
      </c>
      <c r="G204" t="s">
        <v>55</v>
      </c>
      <c r="H204" t="s">
        <v>39</v>
      </c>
      <c r="I204" t="s">
        <v>65</v>
      </c>
      <c r="J204">
        <v>32</v>
      </c>
      <c r="K204">
        <v>6.4</v>
      </c>
      <c r="L204">
        <v>9.1</v>
      </c>
      <c r="M204" t="s">
        <v>50</v>
      </c>
      <c r="N204">
        <v>21</v>
      </c>
      <c r="O204">
        <v>109.14</v>
      </c>
      <c r="P204">
        <v>0</v>
      </c>
      <c r="Q204" t="s">
        <v>39</v>
      </c>
      <c r="R204">
        <v>5</v>
      </c>
      <c r="S204" t="s">
        <v>28</v>
      </c>
      <c r="T204">
        <v>9.5</v>
      </c>
      <c r="U204" t="s">
        <v>39</v>
      </c>
      <c r="V204" t="s">
        <v>125</v>
      </c>
    </row>
    <row r="205" spans="1:22" x14ac:dyDescent="0.3">
      <c r="A205" t="s">
        <v>338</v>
      </c>
      <c r="B205">
        <v>2026</v>
      </c>
      <c r="C205" t="s">
        <v>94</v>
      </c>
      <c r="D205" t="s">
        <v>63</v>
      </c>
      <c r="E205" t="s">
        <v>82</v>
      </c>
      <c r="F205" t="s">
        <v>60</v>
      </c>
      <c r="G205" t="s">
        <v>55</v>
      </c>
      <c r="H205" t="s">
        <v>31</v>
      </c>
      <c r="I205" t="s">
        <v>61</v>
      </c>
      <c r="J205">
        <v>12</v>
      </c>
      <c r="K205">
        <v>2.4</v>
      </c>
      <c r="L205">
        <v>3.6</v>
      </c>
      <c r="M205" t="s">
        <v>50</v>
      </c>
      <c r="N205">
        <v>47</v>
      </c>
      <c r="O205">
        <v>30.79</v>
      </c>
      <c r="P205">
        <v>9</v>
      </c>
      <c r="Q205" t="s">
        <v>31</v>
      </c>
      <c r="R205">
        <v>6</v>
      </c>
      <c r="S205" t="s">
        <v>91</v>
      </c>
      <c r="T205">
        <v>6.6</v>
      </c>
      <c r="U205" t="s">
        <v>41</v>
      </c>
      <c r="V205" t="s">
        <v>72</v>
      </c>
    </row>
    <row r="206" spans="1:22" x14ac:dyDescent="0.3">
      <c r="A206" t="s">
        <v>339</v>
      </c>
      <c r="B206">
        <v>2026</v>
      </c>
      <c r="C206" t="s">
        <v>74</v>
      </c>
      <c r="D206" t="s">
        <v>81</v>
      </c>
      <c r="E206" t="s">
        <v>36</v>
      </c>
      <c r="F206" t="s">
        <v>340</v>
      </c>
      <c r="G206" t="s">
        <v>38</v>
      </c>
      <c r="H206" t="s">
        <v>39</v>
      </c>
      <c r="I206" t="s">
        <v>71</v>
      </c>
      <c r="J206">
        <v>51</v>
      </c>
      <c r="K206">
        <v>18.5</v>
      </c>
      <c r="L206">
        <v>30.7</v>
      </c>
      <c r="M206" t="s">
        <v>144</v>
      </c>
      <c r="N206">
        <v>47</v>
      </c>
      <c r="O206">
        <v>296.42</v>
      </c>
      <c r="P206">
        <v>9</v>
      </c>
      <c r="Q206" t="s">
        <v>41</v>
      </c>
      <c r="R206">
        <v>6</v>
      </c>
      <c r="S206" t="s">
        <v>91</v>
      </c>
      <c r="T206">
        <v>5.5</v>
      </c>
      <c r="U206" t="s">
        <v>28</v>
      </c>
      <c r="V206" t="s">
        <v>72</v>
      </c>
    </row>
    <row r="207" spans="1:22" x14ac:dyDescent="0.3">
      <c r="A207" t="s">
        <v>341</v>
      </c>
      <c r="B207">
        <v>2026</v>
      </c>
      <c r="C207" t="s">
        <v>53</v>
      </c>
      <c r="D207" t="s">
        <v>89</v>
      </c>
      <c r="E207" t="s">
        <v>25</v>
      </c>
      <c r="F207" t="s">
        <v>105</v>
      </c>
      <c r="G207" t="s">
        <v>27</v>
      </c>
      <c r="H207" t="s">
        <v>31</v>
      </c>
      <c r="I207" t="s">
        <v>49</v>
      </c>
      <c r="J207">
        <v>14</v>
      </c>
      <c r="K207">
        <v>5.5</v>
      </c>
      <c r="L207">
        <v>19.399999999999999</v>
      </c>
      <c r="M207" t="s">
        <v>50</v>
      </c>
      <c r="N207">
        <v>28</v>
      </c>
      <c r="O207">
        <v>44.16</v>
      </c>
      <c r="P207">
        <v>6</v>
      </c>
      <c r="Q207" t="s">
        <v>39</v>
      </c>
      <c r="R207">
        <v>3</v>
      </c>
      <c r="S207" t="s">
        <v>31</v>
      </c>
      <c r="T207">
        <v>11.6</v>
      </c>
      <c r="U207" t="s">
        <v>31</v>
      </c>
      <c r="V207" t="s">
        <v>51</v>
      </c>
    </row>
    <row r="208" spans="1:22" x14ac:dyDescent="0.3">
      <c r="A208" t="s">
        <v>342</v>
      </c>
      <c r="B208">
        <v>2026</v>
      </c>
      <c r="C208" t="s">
        <v>34</v>
      </c>
      <c r="D208" t="s">
        <v>69</v>
      </c>
      <c r="E208" t="s">
        <v>25</v>
      </c>
      <c r="F208" t="s">
        <v>44</v>
      </c>
      <c r="G208" t="s">
        <v>27</v>
      </c>
      <c r="H208" t="s">
        <v>28</v>
      </c>
      <c r="I208" t="s">
        <v>65</v>
      </c>
      <c r="J208">
        <v>22</v>
      </c>
      <c r="K208">
        <v>4.4000000000000004</v>
      </c>
      <c r="L208">
        <v>15.8</v>
      </c>
      <c r="M208" t="s">
        <v>343</v>
      </c>
      <c r="N208">
        <v>113</v>
      </c>
      <c r="O208">
        <v>124.11</v>
      </c>
      <c r="P208">
        <v>6</v>
      </c>
      <c r="Q208" t="s">
        <v>28</v>
      </c>
      <c r="R208">
        <v>9</v>
      </c>
      <c r="S208" t="s">
        <v>91</v>
      </c>
      <c r="T208">
        <v>5</v>
      </c>
      <c r="U208" t="s">
        <v>31</v>
      </c>
      <c r="V208" t="s">
        <v>32</v>
      </c>
    </row>
    <row r="209" spans="1:22" x14ac:dyDescent="0.3">
      <c r="A209" t="s">
        <v>344</v>
      </c>
      <c r="B209">
        <v>2024</v>
      </c>
      <c r="C209" t="s">
        <v>58</v>
      </c>
      <c r="D209" t="s">
        <v>81</v>
      </c>
      <c r="E209" t="s">
        <v>86</v>
      </c>
      <c r="F209" t="s">
        <v>37</v>
      </c>
      <c r="G209" t="s">
        <v>27</v>
      </c>
      <c r="H209" t="s">
        <v>28</v>
      </c>
      <c r="I209" t="s">
        <v>40</v>
      </c>
      <c r="J209">
        <v>22</v>
      </c>
      <c r="K209">
        <v>4.3</v>
      </c>
      <c r="L209">
        <v>12.4</v>
      </c>
      <c r="M209" t="s">
        <v>30</v>
      </c>
      <c r="N209">
        <v>3</v>
      </c>
      <c r="O209">
        <v>58.77</v>
      </c>
      <c r="P209">
        <v>6</v>
      </c>
      <c r="Q209" t="s">
        <v>31</v>
      </c>
      <c r="R209">
        <v>4</v>
      </c>
      <c r="S209" t="s">
        <v>31</v>
      </c>
      <c r="T209">
        <v>9</v>
      </c>
      <c r="U209" t="s">
        <v>31</v>
      </c>
      <c r="V209" t="s">
        <v>51</v>
      </c>
    </row>
    <row r="210" spans="1:22" x14ac:dyDescent="0.3">
      <c r="A210" t="s">
        <v>345</v>
      </c>
      <c r="B210">
        <v>2025</v>
      </c>
      <c r="C210" t="s">
        <v>217</v>
      </c>
      <c r="D210" t="s">
        <v>59</v>
      </c>
      <c r="E210" t="s">
        <v>82</v>
      </c>
      <c r="F210" t="s">
        <v>87</v>
      </c>
      <c r="G210" t="s">
        <v>55</v>
      </c>
      <c r="H210" t="s">
        <v>28</v>
      </c>
      <c r="I210" t="s">
        <v>90</v>
      </c>
      <c r="J210">
        <v>37</v>
      </c>
      <c r="K210">
        <v>2.8</v>
      </c>
      <c r="L210">
        <v>-7.6</v>
      </c>
      <c r="M210" t="s">
        <v>47</v>
      </c>
      <c r="N210">
        <v>0</v>
      </c>
      <c r="O210">
        <v>131.43</v>
      </c>
      <c r="P210">
        <v>6</v>
      </c>
      <c r="Q210" t="s">
        <v>39</v>
      </c>
      <c r="R210">
        <v>6</v>
      </c>
      <c r="S210" t="s">
        <v>31</v>
      </c>
      <c r="T210">
        <v>9.5</v>
      </c>
      <c r="U210" t="s">
        <v>31</v>
      </c>
      <c r="V210" t="s">
        <v>51</v>
      </c>
    </row>
    <row r="211" spans="1:22" x14ac:dyDescent="0.3">
      <c r="A211" t="s">
        <v>346</v>
      </c>
      <c r="B211">
        <v>2026</v>
      </c>
      <c r="C211" t="s">
        <v>34</v>
      </c>
      <c r="D211" t="s">
        <v>35</v>
      </c>
      <c r="E211" t="s">
        <v>25</v>
      </c>
      <c r="F211" t="s">
        <v>37</v>
      </c>
      <c r="G211" t="s">
        <v>55</v>
      </c>
      <c r="H211" t="s">
        <v>31</v>
      </c>
      <c r="I211" t="s">
        <v>71</v>
      </c>
      <c r="J211">
        <v>28</v>
      </c>
      <c r="K211">
        <v>14.7</v>
      </c>
      <c r="L211">
        <v>32.9</v>
      </c>
      <c r="M211" t="s">
        <v>144</v>
      </c>
      <c r="N211">
        <v>32</v>
      </c>
      <c r="O211">
        <v>127.91</v>
      </c>
      <c r="P211">
        <v>10</v>
      </c>
      <c r="Q211" t="s">
        <v>41</v>
      </c>
      <c r="R211">
        <v>6</v>
      </c>
      <c r="S211" t="s">
        <v>31</v>
      </c>
      <c r="T211">
        <v>8.1</v>
      </c>
      <c r="U211" t="s">
        <v>41</v>
      </c>
      <c r="V211" t="s">
        <v>72</v>
      </c>
    </row>
    <row r="212" spans="1:22" x14ac:dyDescent="0.3">
      <c r="A212" t="s">
        <v>347</v>
      </c>
      <c r="B212">
        <v>2026</v>
      </c>
      <c r="C212" t="s">
        <v>53</v>
      </c>
      <c r="D212" t="s">
        <v>63</v>
      </c>
      <c r="E212" t="s">
        <v>86</v>
      </c>
      <c r="F212" t="s">
        <v>120</v>
      </c>
      <c r="G212" t="s">
        <v>27</v>
      </c>
      <c r="H212" t="s">
        <v>31</v>
      </c>
      <c r="I212" t="s">
        <v>56</v>
      </c>
      <c r="J212">
        <v>24</v>
      </c>
      <c r="K212">
        <v>2.1</v>
      </c>
      <c r="L212">
        <v>15.2</v>
      </c>
      <c r="M212" t="s">
        <v>47</v>
      </c>
      <c r="N212">
        <v>11</v>
      </c>
      <c r="O212">
        <v>28.41</v>
      </c>
      <c r="P212">
        <v>6</v>
      </c>
      <c r="Q212" t="s">
        <v>28</v>
      </c>
      <c r="R212">
        <v>5</v>
      </c>
      <c r="S212" t="s">
        <v>41</v>
      </c>
      <c r="T212">
        <v>7.8</v>
      </c>
      <c r="U212" t="s">
        <v>31</v>
      </c>
      <c r="V212" t="s">
        <v>32</v>
      </c>
    </row>
    <row r="213" spans="1:22" x14ac:dyDescent="0.3">
      <c r="A213" t="s">
        <v>348</v>
      </c>
      <c r="B213">
        <v>2025</v>
      </c>
      <c r="C213" t="s">
        <v>74</v>
      </c>
      <c r="D213" t="s">
        <v>24</v>
      </c>
      <c r="E213" t="s">
        <v>25</v>
      </c>
      <c r="F213" t="s">
        <v>75</v>
      </c>
      <c r="G213" t="s">
        <v>38</v>
      </c>
      <c r="H213" t="s">
        <v>28</v>
      </c>
      <c r="I213" t="s">
        <v>71</v>
      </c>
      <c r="J213">
        <v>76</v>
      </c>
      <c r="K213">
        <v>22.3</v>
      </c>
      <c r="L213">
        <v>22.7</v>
      </c>
      <c r="M213" t="s">
        <v>47</v>
      </c>
      <c r="N213">
        <v>0</v>
      </c>
      <c r="O213">
        <v>253.83</v>
      </c>
      <c r="P213">
        <v>5</v>
      </c>
      <c r="Q213" t="s">
        <v>31</v>
      </c>
      <c r="R213">
        <v>4</v>
      </c>
      <c r="S213" t="s">
        <v>41</v>
      </c>
      <c r="T213">
        <v>14.4</v>
      </c>
      <c r="U213" t="s">
        <v>31</v>
      </c>
      <c r="V213" t="s">
        <v>32</v>
      </c>
    </row>
    <row r="214" spans="1:22" x14ac:dyDescent="0.3">
      <c r="A214" t="s">
        <v>349</v>
      </c>
      <c r="B214">
        <v>2026</v>
      </c>
      <c r="C214" t="s">
        <v>129</v>
      </c>
      <c r="D214" t="s">
        <v>81</v>
      </c>
      <c r="E214" t="s">
        <v>86</v>
      </c>
      <c r="F214" t="s">
        <v>98</v>
      </c>
      <c r="G214" t="s">
        <v>55</v>
      </c>
      <c r="H214" t="s">
        <v>39</v>
      </c>
      <c r="I214" t="s">
        <v>56</v>
      </c>
      <c r="J214">
        <v>33</v>
      </c>
      <c r="K214">
        <v>18.5</v>
      </c>
      <c r="L214">
        <v>7</v>
      </c>
      <c r="M214" t="s">
        <v>30</v>
      </c>
      <c r="N214">
        <v>4</v>
      </c>
      <c r="O214">
        <v>54.61</v>
      </c>
      <c r="P214">
        <v>9</v>
      </c>
      <c r="Q214" t="s">
        <v>41</v>
      </c>
      <c r="R214">
        <v>7</v>
      </c>
      <c r="S214" t="s">
        <v>28</v>
      </c>
      <c r="T214">
        <v>5.7</v>
      </c>
      <c r="U214" t="s">
        <v>31</v>
      </c>
      <c r="V214" t="s">
        <v>72</v>
      </c>
    </row>
    <row r="215" spans="1:22" x14ac:dyDescent="0.3">
      <c r="A215" t="s">
        <v>350</v>
      </c>
      <c r="B215">
        <v>2024</v>
      </c>
      <c r="C215" t="s">
        <v>23</v>
      </c>
      <c r="D215" t="s">
        <v>59</v>
      </c>
      <c r="E215" t="s">
        <v>82</v>
      </c>
      <c r="F215" t="s">
        <v>26</v>
      </c>
      <c r="G215" t="s">
        <v>27</v>
      </c>
      <c r="H215" t="s">
        <v>31</v>
      </c>
      <c r="I215" t="s">
        <v>49</v>
      </c>
      <c r="J215">
        <v>19</v>
      </c>
      <c r="K215">
        <v>3.3</v>
      </c>
      <c r="L215">
        <v>1.6</v>
      </c>
      <c r="M215" t="s">
        <v>47</v>
      </c>
      <c r="N215">
        <v>8</v>
      </c>
      <c r="O215">
        <v>21.75</v>
      </c>
      <c r="P215">
        <v>7</v>
      </c>
      <c r="Q215" t="s">
        <v>28</v>
      </c>
      <c r="R215">
        <v>5</v>
      </c>
      <c r="S215" t="s">
        <v>41</v>
      </c>
      <c r="T215">
        <v>6.1</v>
      </c>
      <c r="U215" t="s">
        <v>41</v>
      </c>
      <c r="V215" t="s">
        <v>32</v>
      </c>
    </row>
    <row r="216" spans="1:22" x14ac:dyDescent="0.3">
      <c r="A216" t="s">
        <v>351</v>
      </c>
      <c r="B216">
        <v>2024</v>
      </c>
      <c r="C216" t="s">
        <v>94</v>
      </c>
      <c r="D216" t="s">
        <v>81</v>
      </c>
      <c r="E216" t="s">
        <v>36</v>
      </c>
      <c r="F216" t="s">
        <v>44</v>
      </c>
      <c r="G216" t="s">
        <v>55</v>
      </c>
      <c r="H216" t="s">
        <v>41</v>
      </c>
      <c r="I216" t="s">
        <v>90</v>
      </c>
      <c r="J216">
        <v>7</v>
      </c>
      <c r="K216">
        <v>1.7</v>
      </c>
      <c r="L216">
        <v>2.7</v>
      </c>
      <c r="M216" t="s">
        <v>47</v>
      </c>
      <c r="N216">
        <v>7</v>
      </c>
      <c r="O216">
        <v>15.31</v>
      </c>
      <c r="P216">
        <v>7</v>
      </c>
      <c r="Q216" t="s">
        <v>28</v>
      </c>
      <c r="R216">
        <v>4</v>
      </c>
      <c r="S216" t="s">
        <v>41</v>
      </c>
      <c r="T216">
        <v>18.399999999999999</v>
      </c>
      <c r="U216" t="s">
        <v>41</v>
      </c>
      <c r="V216" t="s">
        <v>51</v>
      </c>
    </row>
    <row r="217" spans="1:22" x14ac:dyDescent="0.3">
      <c r="A217" t="s">
        <v>352</v>
      </c>
      <c r="B217">
        <v>2025</v>
      </c>
      <c r="C217" t="s">
        <v>134</v>
      </c>
      <c r="D217" t="s">
        <v>59</v>
      </c>
      <c r="E217" t="s">
        <v>36</v>
      </c>
      <c r="F217" t="s">
        <v>132</v>
      </c>
      <c r="G217" t="s">
        <v>55</v>
      </c>
      <c r="H217" t="s">
        <v>41</v>
      </c>
      <c r="I217" t="s">
        <v>46</v>
      </c>
      <c r="J217">
        <v>7</v>
      </c>
      <c r="K217">
        <v>2.7</v>
      </c>
      <c r="L217">
        <v>10.8</v>
      </c>
      <c r="M217" t="s">
        <v>30</v>
      </c>
      <c r="N217">
        <v>6</v>
      </c>
      <c r="O217">
        <v>30.22</v>
      </c>
      <c r="P217">
        <v>6</v>
      </c>
      <c r="Q217" t="s">
        <v>31</v>
      </c>
      <c r="R217">
        <v>5</v>
      </c>
      <c r="S217" t="s">
        <v>31</v>
      </c>
      <c r="T217">
        <v>7.3</v>
      </c>
      <c r="U217" t="s">
        <v>41</v>
      </c>
      <c r="V217" t="s">
        <v>72</v>
      </c>
    </row>
    <row r="218" spans="1:22" x14ac:dyDescent="0.3">
      <c r="A218" t="s">
        <v>353</v>
      </c>
      <c r="B218">
        <v>2024</v>
      </c>
      <c r="C218" t="s">
        <v>196</v>
      </c>
      <c r="D218" t="s">
        <v>85</v>
      </c>
      <c r="E218" t="s">
        <v>36</v>
      </c>
      <c r="F218" t="s">
        <v>37</v>
      </c>
      <c r="G218" t="s">
        <v>38</v>
      </c>
      <c r="H218" t="s">
        <v>31</v>
      </c>
      <c r="I218" t="s">
        <v>40</v>
      </c>
      <c r="J218">
        <v>4</v>
      </c>
      <c r="K218">
        <v>1.7</v>
      </c>
      <c r="L218">
        <v>-5.5</v>
      </c>
      <c r="M218" t="s">
        <v>47</v>
      </c>
      <c r="N218">
        <v>6</v>
      </c>
      <c r="O218">
        <v>56.09</v>
      </c>
      <c r="P218">
        <v>6</v>
      </c>
      <c r="Q218" t="s">
        <v>31</v>
      </c>
      <c r="R218">
        <v>4</v>
      </c>
      <c r="S218" t="s">
        <v>31</v>
      </c>
      <c r="T218">
        <v>7.8</v>
      </c>
      <c r="U218" t="s">
        <v>39</v>
      </c>
      <c r="V218" t="s">
        <v>125</v>
      </c>
    </row>
    <row r="219" spans="1:22" hidden="1" x14ac:dyDescent="0.3">
      <c r="A219" t="s">
        <v>354</v>
      </c>
      <c r="B219">
        <v>2026</v>
      </c>
      <c r="C219" t="s">
        <v>117</v>
      </c>
      <c r="D219" t="s">
        <v>81</v>
      </c>
      <c r="E219" t="s">
        <v>25</v>
      </c>
      <c r="F219" t="s">
        <v>64</v>
      </c>
      <c r="G219" t="s">
        <v>38</v>
      </c>
      <c r="H219" t="s">
        <v>39</v>
      </c>
      <c r="I219" t="s">
        <v>46</v>
      </c>
      <c r="J219">
        <v>115</v>
      </c>
      <c r="K219">
        <v>26</v>
      </c>
      <c r="L219">
        <v>30.2</v>
      </c>
      <c r="M219" t="s">
        <v>144</v>
      </c>
      <c r="N219">
        <v>13</v>
      </c>
      <c r="O219">
        <v>130.30000000000001</v>
      </c>
      <c r="P219">
        <v>8</v>
      </c>
      <c r="Q219" t="s">
        <v>28</v>
      </c>
      <c r="R219">
        <v>9</v>
      </c>
      <c r="S219" t="s">
        <v>91</v>
      </c>
      <c r="U219" t="s">
        <v>41</v>
      </c>
      <c r="V219" t="s">
        <v>72</v>
      </c>
    </row>
    <row r="220" spans="1:22" x14ac:dyDescent="0.3">
      <c r="A220" t="s">
        <v>355</v>
      </c>
      <c r="B220">
        <v>2024</v>
      </c>
      <c r="C220" t="s">
        <v>84</v>
      </c>
      <c r="D220" t="s">
        <v>81</v>
      </c>
      <c r="E220" t="s">
        <v>25</v>
      </c>
      <c r="F220" t="s">
        <v>132</v>
      </c>
      <c r="G220" t="s">
        <v>27</v>
      </c>
      <c r="H220" t="s">
        <v>28</v>
      </c>
      <c r="I220" t="s">
        <v>40</v>
      </c>
      <c r="J220">
        <v>26</v>
      </c>
      <c r="K220">
        <v>5.2</v>
      </c>
      <c r="L220">
        <v>12.6</v>
      </c>
      <c r="M220" t="s">
        <v>50</v>
      </c>
      <c r="N220">
        <v>27</v>
      </c>
      <c r="O220">
        <v>116.24</v>
      </c>
      <c r="P220">
        <v>9</v>
      </c>
      <c r="Q220" t="s">
        <v>28</v>
      </c>
      <c r="R220">
        <v>4</v>
      </c>
      <c r="S220" t="s">
        <v>41</v>
      </c>
      <c r="T220">
        <v>16.100000000000001</v>
      </c>
      <c r="U220" t="s">
        <v>41</v>
      </c>
      <c r="V220" t="s">
        <v>72</v>
      </c>
    </row>
    <row r="221" spans="1:22" x14ac:dyDescent="0.3">
      <c r="A221" t="s">
        <v>356</v>
      </c>
      <c r="B221">
        <v>2025</v>
      </c>
      <c r="C221" t="s">
        <v>117</v>
      </c>
      <c r="D221" t="s">
        <v>43</v>
      </c>
      <c r="E221" t="s">
        <v>82</v>
      </c>
      <c r="F221" t="s">
        <v>26</v>
      </c>
      <c r="G221" t="s">
        <v>27</v>
      </c>
      <c r="H221" t="s">
        <v>31</v>
      </c>
      <c r="I221" t="s">
        <v>71</v>
      </c>
      <c r="J221">
        <v>12</v>
      </c>
      <c r="K221">
        <v>3.4</v>
      </c>
      <c r="L221">
        <v>-11</v>
      </c>
      <c r="M221" t="s">
        <v>30</v>
      </c>
      <c r="N221">
        <v>23</v>
      </c>
      <c r="O221">
        <v>81.069999999999993</v>
      </c>
      <c r="P221">
        <v>7</v>
      </c>
      <c r="Q221" t="s">
        <v>28</v>
      </c>
      <c r="R221">
        <v>5</v>
      </c>
      <c r="S221" t="s">
        <v>31</v>
      </c>
      <c r="T221">
        <v>8.8000000000000007</v>
      </c>
      <c r="U221" t="s">
        <v>31</v>
      </c>
      <c r="V221" t="s">
        <v>51</v>
      </c>
    </row>
    <row r="222" spans="1:22" x14ac:dyDescent="0.3">
      <c r="A222" t="s">
        <v>357</v>
      </c>
      <c r="B222">
        <v>2026</v>
      </c>
      <c r="C222" t="s">
        <v>74</v>
      </c>
      <c r="D222" t="s">
        <v>69</v>
      </c>
      <c r="E222" t="s">
        <v>82</v>
      </c>
      <c r="F222" t="s">
        <v>54</v>
      </c>
      <c r="G222" t="s">
        <v>27</v>
      </c>
      <c r="H222" t="s">
        <v>39</v>
      </c>
      <c r="I222" t="s">
        <v>90</v>
      </c>
      <c r="J222">
        <v>92</v>
      </c>
      <c r="K222">
        <v>8.8000000000000007</v>
      </c>
      <c r="L222">
        <v>11.6</v>
      </c>
      <c r="M222" t="s">
        <v>30</v>
      </c>
      <c r="N222">
        <v>15</v>
      </c>
      <c r="O222">
        <v>126.94</v>
      </c>
      <c r="P222">
        <v>7</v>
      </c>
      <c r="Q222" t="s">
        <v>41</v>
      </c>
      <c r="R222">
        <v>7</v>
      </c>
      <c r="S222" t="s">
        <v>28</v>
      </c>
      <c r="T222">
        <v>10.8</v>
      </c>
      <c r="U222" t="s">
        <v>28</v>
      </c>
      <c r="V222" t="s">
        <v>32</v>
      </c>
    </row>
    <row r="223" spans="1:22" x14ac:dyDescent="0.3">
      <c r="A223" t="s">
        <v>358</v>
      </c>
      <c r="B223">
        <v>2025</v>
      </c>
      <c r="C223" t="s">
        <v>34</v>
      </c>
      <c r="D223" t="s">
        <v>59</v>
      </c>
      <c r="E223" t="s">
        <v>25</v>
      </c>
      <c r="F223" t="s">
        <v>105</v>
      </c>
      <c r="G223" t="s">
        <v>38</v>
      </c>
      <c r="H223" t="s">
        <v>31</v>
      </c>
      <c r="I223" t="s">
        <v>71</v>
      </c>
      <c r="J223">
        <v>30</v>
      </c>
      <c r="K223">
        <v>6</v>
      </c>
      <c r="L223">
        <v>-0.6</v>
      </c>
      <c r="M223" t="s">
        <v>30</v>
      </c>
      <c r="N223">
        <v>30</v>
      </c>
      <c r="O223">
        <v>111.07</v>
      </c>
      <c r="P223">
        <v>6</v>
      </c>
      <c r="Q223" t="s">
        <v>28</v>
      </c>
      <c r="R223">
        <v>6</v>
      </c>
      <c r="S223" t="s">
        <v>31</v>
      </c>
      <c r="T223">
        <v>8.1</v>
      </c>
      <c r="U223" t="s">
        <v>28</v>
      </c>
      <c r="V223" t="s">
        <v>125</v>
      </c>
    </row>
    <row r="224" spans="1:22" x14ac:dyDescent="0.3">
      <c r="A224" t="s">
        <v>359</v>
      </c>
      <c r="B224">
        <v>2025</v>
      </c>
      <c r="C224" t="s">
        <v>74</v>
      </c>
      <c r="D224" t="s">
        <v>59</v>
      </c>
      <c r="E224" t="s">
        <v>36</v>
      </c>
      <c r="F224" t="s">
        <v>37</v>
      </c>
      <c r="G224" t="s">
        <v>55</v>
      </c>
      <c r="H224" t="s">
        <v>39</v>
      </c>
      <c r="I224" t="s">
        <v>71</v>
      </c>
      <c r="J224">
        <v>66</v>
      </c>
      <c r="K224">
        <v>11</v>
      </c>
      <c r="L224">
        <v>3.9</v>
      </c>
      <c r="M224" t="s">
        <v>50</v>
      </c>
      <c r="N224">
        <v>55</v>
      </c>
      <c r="O224">
        <v>187.4</v>
      </c>
      <c r="P224">
        <v>7</v>
      </c>
      <c r="Q224" t="s">
        <v>41</v>
      </c>
      <c r="R224">
        <v>5</v>
      </c>
      <c r="S224" t="s">
        <v>31</v>
      </c>
      <c r="T224">
        <v>9.4</v>
      </c>
      <c r="U224" t="s">
        <v>41</v>
      </c>
      <c r="V224" t="s">
        <v>32</v>
      </c>
    </row>
    <row r="225" spans="1:22" x14ac:dyDescent="0.3">
      <c r="A225" t="s">
        <v>360</v>
      </c>
      <c r="B225">
        <v>2026</v>
      </c>
      <c r="C225" t="s">
        <v>94</v>
      </c>
      <c r="D225" t="s">
        <v>69</v>
      </c>
      <c r="E225" t="s">
        <v>25</v>
      </c>
      <c r="F225" t="s">
        <v>98</v>
      </c>
      <c r="G225" t="s">
        <v>27</v>
      </c>
      <c r="H225" t="s">
        <v>31</v>
      </c>
      <c r="I225" t="s">
        <v>71</v>
      </c>
      <c r="J225">
        <v>19</v>
      </c>
      <c r="K225">
        <v>4.7</v>
      </c>
      <c r="L225">
        <v>19.899999999999999</v>
      </c>
      <c r="M225" t="s">
        <v>30</v>
      </c>
      <c r="N225">
        <v>14</v>
      </c>
      <c r="O225">
        <v>116.08</v>
      </c>
      <c r="P225">
        <v>8</v>
      </c>
      <c r="Q225" t="s">
        <v>31</v>
      </c>
      <c r="R225">
        <v>7</v>
      </c>
      <c r="S225" t="s">
        <v>28</v>
      </c>
      <c r="T225">
        <v>5.7</v>
      </c>
      <c r="U225" t="s">
        <v>31</v>
      </c>
      <c r="V225" t="s">
        <v>72</v>
      </c>
    </row>
    <row r="226" spans="1:22" x14ac:dyDescent="0.3">
      <c r="A226" t="s">
        <v>361</v>
      </c>
      <c r="B226">
        <v>2026</v>
      </c>
      <c r="C226" t="s">
        <v>84</v>
      </c>
      <c r="D226" t="s">
        <v>24</v>
      </c>
      <c r="E226" t="s">
        <v>25</v>
      </c>
      <c r="F226" t="s">
        <v>60</v>
      </c>
      <c r="G226" t="s">
        <v>55</v>
      </c>
      <c r="H226" t="s">
        <v>28</v>
      </c>
      <c r="I226" t="s">
        <v>61</v>
      </c>
      <c r="J226">
        <v>49</v>
      </c>
      <c r="K226">
        <v>2.8</v>
      </c>
      <c r="L226">
        <v>24.7</v>
      </c>
      <c r="M226" t="s">
        <v>144</v>
      </c>
      <c r="N226">
        <v>71</v>
      </c>
      <c r="O226">
        <v>197.38</v>
      </c>
      <c r="P226">
        <v>6</v>
      </c>
      <c r="Q226" t="s">
        <v>31</v>
      </c>
      <c r="R226">
        <v>6</v>
      </c>
      <c r="S226" t="s">
        <v>91</v>
      </c>
      <c r="T226">
        <v>5.2</v>
      </c>
      <c r="U226" t="s">
        <v>31</v>
      </c>
      <c r="V226" t="s">
        <v>72</v>
      </c>
    </row>
    <row r="227" spans="1:22" x14ac:dyDescent="0.3">
      <c r="A227" t="s">
        <v>362</v>
      </c>
      <c r="B227">
        <v>2026</v>
      </c>
      <c r="C227" t="s">
        <v>80</v>
      </c>
      <c r="D227" t="s">
        <v>63</v>
      </c>
      <c r="E227" t="s">
        <v>36</v>
      </c>
      <c r="F227" t="s">
        <v>64</v>
      </c>
      <c r="G227" t="s">
        <v>38</v>
      </c>
      <c r="H227" t="s">
        <v>31</v>
      </c>
      <c r="I227" t="s">
        <v>71</v>
      </c>
      <c r="J227">
        <v>33</v>
      </c>
      <c r="K227">
        <v>11.3</v>
      </c>
      <c r="L227">
        <v>1.7</v>
      </c>
      <c r="M227" t="s">
        <v>47</v>
      </c>
      <c r="N227">
        <v>11</v>
      </c>
      <c r="O227">
        <v>100.8</v>
      </c>
      <c r="P227">
        <v>8</v>
      </c>
      <c r="Q227" t="s">
        <v>41</v>
      </c>
      <c r="R227">
        <v>4</v>
      </c>
      <c r="S227" t="s">
        <v>31</v>
      </c>
      <c r="T227">
        <v>7.2</v>
      </c>
      <c r="U227" t="s">
        <v>39</v>
      </c>
      <c r="V227" t="s">
        <v>51</v>
      </c>
    </row>
    <row r="228" spans="1:22" x14ac:dyDescent="0.3">
      <c r="A228" t="s">
        <v>363</v>
      </c>
      <c r="B228">
        <v>2026</v>
      </c>
      <c r="C228" t="s">
        <v>68</v>
      </c>
      <c r="D228" t="s">
        <v>156</v>
      </c>
      <c r="E228" t="s">
        <v>25</v>
      </c>
      <c r="F228" t="s">
        <v>132</v>
      </c>
      <c r="G228" t="s">
        <v>27</v>
      </c>
      <c r="H228" t="s">
        <v>31</v>
      </c>
      <c r="I228" t="s">
        <v>71</v>
      </c>
      <c r="J228">
        <v>37</v>
      </c>
      <c r="K228">
        <v>6.2</v>
      </c>
      <c r="L228">
        <v>19.399999999999999</v>
      </c>
      <c r="M228" t="s">
        <v>50</v>
      </c>
      <c r="N228">
        <v>15</v>
      </c>
      <c r="O228">
        <v>143.08000000000001</v>
      </c>
      <c r="P228">
        <v>5</v>
      </c>
      <c r="Q228" t="s">
        <v>31</v>
      </c>
      <c r="R228">
        <v>5</v>
      </c>
      <c r="S228" t="s">
        <v>31</v>
      </c>
      <c r="T228">
        <v>8.6</v>
      </c>
      <c r="U228" t="s">
        <v>31</v>
      </c>
      <c r="V228" t="s">
        <v>72</v>
      </c>
    </row>
    <row r="229" spans="1:22" x14ac:dyDescent="0.3">
      <c r="A229" t="s">
        <v>364</v>
      </c>
      <c r="B229">
        <v>2025</v>
      </c>
      <c r="C229" t="s">
        <v>58</v>
      </c>
      <c r="D229" t="s">
        <v>59</v>
      </c>
      <c r="E229" t="s">
        <v>86</v>
      </c>
      <c r="F229" t="s">
        <v>132</v>
      </c>
      <c r="G229" t="s">
        <v>27</v>
      </c>
      <c r="H229" t="s">
        <v>31</v>
      </c>
      <c r="I229" t="s">
        <v>90</v>
      </c>
      <c r="J229">
        <v>15</v>
      </c>
      <c r="K229">
        <v>2.4</v>
      </c>
      <c r="L229">
        <v>13.5</v>
      </c>
      <c r="M229" t="s">
        <v>30</v>
      </c>
      <c r="N229">
        <v>8</v>
      </c>
      <c r="O229">
        <v>72.930000000000007</v>
      </c>
      <c r="P229">
        <v>6</v>
      </c>
      <c r="Q229" t="s">
        <v>39</v>
      </c>
      <c r="R229">
        <v>4</v>
      </c>
      <c r="S229" t="s">
        <v>31</v>
      </c>
      <c r="T229">
        <v>10.9</v>
      </c>
      <c r="U229" t="s">
        <v>28</v>
      </c>
      <c r="V229" t="s">
        <v>51</v>
      </c>
    </row>
    <row r="230" spans="1:22" x14ac:dyDescent="0.3">
      <c r="A230" t="s">
        <v>365</v>
      </c>
      <c r="B230">
        <v>2024</v>
      </c>
      <c r="C230" t="s">
        <v>53</v>
      </c>
      <c r="D230" t="s">
        <v>85</v>
      </c>
      <c r="E230" t="s">
        <v>82</v>
      </c>
      <c r="F230" t="s">
        <v>64</v>
      </c>
      <c r="G230" t="s">
        <v>55</v>
      </c>
      <c r="H230" t="s">
        <v>41</v>
      </c>
      <c r="I230" t="s">
        <v>366</v>
      </c>
      <c r="J230">
        <v>7</v>
      </c>
      <c r="K230">
        <v>2.7</v>
      </c>
      <c r="L230">
        <v>-7</v>
      </c>
      <c r="M230" t="s">
        <v>30</v>
      </c>
      <c r="N230">
        <v>30</v>
      </c>
      <c r="O230">
        <v>22.65</v>
      </c>
      <c r="P230">
        <v>4</v>
      </c>
      <c r="Q230" t="s">
        <v>31</v>
      </c>
      <c r="R230">
        <v>5</v>
      </c>
      <c r="S230" t="s">
        <v>31</v>
      </c>
      <c r="T230">
        <v>4.7</v>
      </c>
      <c r="U230" t="s">
        <v>41</v>
      </c>
      <c r="V230" t="s">
        <v>125</v>
      </c>
    </row>
    <row r="231" spans="1:22" x14ac:dyDescent="0.3">
      <c r="A231" t="s">
        <v>367</v>
      </c>
      <c r="B231">
        <v>2026</v>
      </c>
      <c r="C231" t="s">
        <v>94</v>
      </c>
      <c r="D231" t="s">
        <v>85</v>
      </c>
      <c r="E231" t="s">
        <v>82</v>
      </c>
      <c r="F231" t="s">
        <v>60</v>
      </c>
      <c r="G231" t="s">
        <v>55</v>
      </c>
      <c r="H231" t="s">
        <v>28</v>
      </c>
      <c r="I231" t="s">
        <v>61</v>
      </c>
      <c r="J231">
        <v>27</v>
      </c>
      <c r="K231">
        <v>1.8</v>
      </c>
      <c r="L231">
        <v>11.5</v>
      </c>
      <c r="M231" t="s">
        <v>50</v>
      </c>
      <c r="N231">
        <v>34</v>
      </c>
      <c r="O231">
        <v>38.01</v>
      </c>
      <c r="P231">
        <v>6</v>
      </c>
      <c r="Q231" t="s">
        <v>31</v>
      </c>
      <c r="R231">
        <v>6</v>
      </c>
      <c r="S231" t="s">
        <v>28</v>
      </c>
      <c r="T231">
        <v>5.2</v>
      </c>
      <c r="U231" t="s">
        <v>41</v>
      </c>
      <c r="V231" t="s">
        <v>72</v>
      </c>
    </row>
    <row r="232" spans="1:22" x14ac:dyDescent="0.3">
      <c r="A232" t="s">
        <v>368</v>
      </c>
      <c r="B232">
        <v>2026</v>
      </c>
      <c r="C232" t="s">
        <v>74</v>
      </c>
      <c r="D232" t="s">
        <v>102</v>
      </c>
      <c r="E232" t="s">
        <v>86</v>
      </c>
      <c r="F232" t="s">
        <v>44</v>
      </c>
      <c r="G232" t="s">
        <v>38</v>
      </c>
      <c r="H232" t="s">
        <v>28</v>
      </c>
      <c r="I232" t="s">
        <v>71</v>
      </c>
      <c r="J232">
        <v>40</v>
      </c>
      <c r="K232">
        <v>6</v>
      </c>
      <c r="L232">
        <v>-3.7</v>
      </c>
      <c r="M232" t="s">
        <v>30</v>
      </c>
      <c r="N232">
        <v>23</v>
      </c>
      <c r="O232">
        <v>67.11</v>
      </c>
      <c r="P232">
        <v>7</v>
      </c>
      <c r="Q232" t="s">
        <v>28</v>
      </c>
      <c r="R232">
        <v>4</v>
      </c>
      <c r="S232" t="s">
        <v>31</v>
      </c>
      <c r="T232">
        <v>22.8</v>
      </c>
      <c r="U232" t="s">
        <v>28</v>
      </c>
      <c r="V232" t="s">
        <v>125</v>
      </c>
    </row>
    <row r="233" spans="1:22" x14ac:dyDescent="0.3">
      <c r="A233" t="s">
        <v>369</v>
      </c>
      <c r="B233">
        <v>2026</v>
      </c>
      <c r="C233" t="s">
        <v>58</v>
      </c>
      <c r="D233" t="s">
        <v>89</v>
      </c>
      <c r="E233" t="s">
        <v>82</v>
      </c>
      <c r="F233" t="s">
        <v>132</v>
      </c>
      <c r="G233" t="s">
        <v>55</v>
      </c>
      <c r="H233" t="s">
        <v>28</v>
      </c>
      <c r="I233" t="s">
        <v>65</v>
      </c>
      <c r="J233">
        <v>20</v>
      </c>
      <c r="K233">
        <v>2.2000000000000002</v>
      </c>
      <c r="L233">
        <v>5.9</v>
      </c>
      <c r="M233" t="s">
        <v>50</v>
      </c>
      <c r="N233">
        <v>50</v>
      </c>
      <c r="O233">
        <v>62.65</v>
      </c>
      <c r="P233">
        <v>8</v>
      </c>
      <c r="Q233" t="s">
        <v>39</v>
      </c>
      <c r="R233">
        <v>5</v>
      </c>
      <c r="S233" t="s">
        <v>28</v>
      </c>
      <c r="T233">
        <v>7.4</v>
      </c>
      <c r="U233" t="s">
        <v>31</v>
      </c>
      <c r="V233" t="s">
        <v>51</v>
      </c>
    </row>
    <row r="234" spans="1:22" x14ac:dyDescent="0.3">
      <c r="A234" t="s">
        <v>370</v>
      </c>
      <c r="B234">
        <v>2025</v>
      </c>
      <c r="C234" t="s">
        <v>94</v>
      </c>
      <c r="D234" t="s">
        <v>35</v>
      </c>
      <c r="E234" t="s">
        <v>36</v>
      </c>
      <c r="F234" t="s">
        <v>37</v>
      </c>
      <c r="G234" t="s">
        <v>27</v>
      </c>
      <c r="H234" t="s">
        <v>371</v>
      </c>
      <c r="I234" t="s">
        <v>40</v>
      </c>
      <c r="J234">
        <v>29</v>
      </c>
      <c r="K234">
        <v>5.5</v>
      </c>
      <c r="L234">
        <v>-11</v>
      </c>
      <c r="M234" t="s">
        <v>30</v>
      </c>
      <c r="N234">
        <v>3</v>
      </c>
      <c r="O234">
        <v>63.23</v>
      </c>
      <c r="P234">
        <v>5</v>
      </c>
      <c r="Q234" t="s">
        <v>31</v>
      </c>
      <c r="R234">
        <v>6</v>
      </c>
      <c r="S234" t="s">
        <v>31</v>
      </c>
      <c r="T234">
        <v>10</v>
      </c>
      <c r="U234" t="s">
        <v>31</v>
      </c>
      <c r="V234" t="s">
        <v>51</v>
      </c>
    </row>
    <row r="235" spans="1:22" x14ac:dyDescent="0.3">
      <c r="A235" t="s">
        <v>372</v>
      </c>
      <c r="B235">
        <v>2026</v>
      </c>
      <c r="C235" t="s">
        <v>53</v>
      </c>
      <c r="D235" t="s">
        <v>81</v>
      </c>
      <c r="E235" t="s">
        <v>86</v>
      </c>
      <c r="F235" t="s">
        <v>132</v>
      </c>
      <c r="G235" t="s">
        <v>38</v>
      </c>
      <c r="H235" t="s">
        <v>28</v>
      </c>
      <c r="I235" t="s">
        <v>40</v>
      </c>
      <c r="J235">
        <v>38</v>
      </c>
      <c r="K235">
        <v>7.4</v>
      </c>
      <c r="L235">
        <v>1.2</v>
      </c>
      <c r="M235" t="s">
        <v>30</v>
      </c>
      <c r="N235">
        <v>27</v>
      </c>
      <c r="O235">
        <v>209.67</v>
      </c>
      <c r="P235">
        <v>7</v>
      </c>
      <c r="Q235" t="s">
        <v>31</v>
      </c>
      <c r="R235">
        <v>5</v>
      </c>
      <c r="S235" t="s">
        <v>31</v>
      </c>
      <c r="T235">
        <v>8.3000000000000007</v>
      </c>
      <c r="U235" t="s">
        <v>31</v>
      </c>
      <c r="V235" t="s">
        <v>51</v>
      </c>
    </row>
    <row r="236" spans="1:22" x14ac:dyDescent="0.3">
      <c r="A236" t="s">
        <v>373</v>
      </c>
      <c r="B236">
        <v>2026</v>
      </c>
      <c r="C236" t="s">
        <v>217</v>
      </c>
      <c r="D236" t="s">
        <v>24</v>
      </c>
      <c r="E236" t="s">
        <v>36</v>
      </c>
      <c r="F236" t="s">
        <v>120</v>
      </c>
      <c r="G236" t="s">
        <v>27</v>
      </c>
      <c r="H236" t="s">
        <v>39</v>
      </c>
      <c r="I236" t="s">
        <v>56</v>
      </c>
      <c r="J236">
        <v>89</v>
      </c>
      <c r="K236">
        <v>5.2</v>
      </c>
      <c r="L236">
        <v>10.8</v>
      </c>
      <c r="M236" t="s">
        <v>30</v>
      </c>
      <c r="N236">
        <v>2</v>
      </c>
      <c r="O236">
        <v>60.53</v>
      </c>
      <c r="P236">
        <v>5</v>
      </c>
      <c r="Q236" t="s">
        <v>39</v>
      </c>
      <c r="R236">
        <v>6</v>
      </c>
      <c r="S236" t="s">
        <v>28</v>
      </c>
      <c r="T236">
        <v>3</v>
      </c>
      <c r="U236" t="s">
        <v>39</v>
      </c>
      <c r="V236" t="s">
        <v>51</v>
      </c>
    </row>
    <row r="237" spans="1:22" x14ac:dyDescent="0.3">
      <c r="A237" t="s">
        <v>374</v>
      </c>
      <c r="B237">
        <v>2025</v>
      </c>
      <c r="C237" t="s">
        <v>23</v>
      </c>
      <c r="D237" t="s">
        <v>43</v>
      </c>
      <c r="E237" t="s">
        <v>36</v>
      </c>
      <c r="F237" t="s">
        <v>105</v>
      </c>
      <c r="G237" t="s">
        <v>55</v>
      </c>
      <c r="H237" t="s">
        <v>28</v>
      </c>
      <c r="I237" t="s">
        <v>49</v>
      </c>
      <c r="J237">
        <v>28</v>
      </c>
      <c r="K237">
        <v>8.9</v>
      </c>
      <c r="L237">
        <v>21.2</v>
      </c>
      <c r="M237" t="s">
        <v>50</v>
      </c>
      <c r="N237">
        <v>18</v>
      </c>
      <c r="O237">
        <v>56.63</v>
      </c>
      <c r="P237">
        <v>5</v>
      </c>
      <c r="Q237" t="s">
        <v>28</v>
      </c>
      <c r="R237">
        <v>11</v>
      </c>
      <c r="S237" t="s">
        <v>28</v>
      </c>
      <c r="T237">
        <v>8.6</v>
      </c>
      <c r="U237" t="s">
        <v>28</v>
      </c>
      <c r="V237" t="s">
        <v>32</v>
      </c>
    </row>
    <row r="238" spans="1:22" x14ac:dyDescent="0.3">
      <c r="A238" t="s">
        <v>375</v>
      </c>
      <c r="B238">
        <v>2026</v>
      </c>
      <c r="C238" t="s">
        <v>134</v>
      </c>
      <c r="D238" t="s">
        <v>69</v>
      </c>
      <c r="E238" t="s">
        <v>82</v>
      </c>
      <c r="F238" t="s">
        <v>132</v>
      </c>
      <c r="G238" t="s">
        <v>38</v>
      </c>
      <c r="H238" t="s">
        <v>39</v>
      </c>
      <c r="I238" t="s">
        <v>46</v>
      </c>
      <c r="J238">
        <v>144</v>
      </c>
      <c r="K238">
        <v>23.7</v>
      </c>
      <c r="L238">
        <v>26.6</v>
      </c>
      <c r="M238" t="s">
        <v>144</v>
      </c>
      <c r="N238">
        <v>60</v>
      </c>
      <c r="O238">
        <v>51.84</v>
      </c>
      <c r="P238">
        <v>8</v>
      </c>
      <c r="Q238" t="s">
        <v>28</v>
      </c>
      <c r="R238">
        <v>8</v>
      </c>
      <c r="S238" t="s">
        <v>91</v>
      </c>
      <c r="T238">
        <v>3.1</v>
      </c>
      <c r="U238" t="s">
        <v>41</v>
      </c>
      <c r="V238" t="s">
        <v>72</v>
      </c>
    </row>
    <row r="239" spans="1:22" x14ac:dyDescent="0.3">
      <c r="A239" t="s">
        <v>376</v>
      </c>
      <c r="B239">
        <v>2024</v>
      </c>
      <c r="C239" t="s">
        <v>84</v>
      </c>
      <c r="D239" t="s">
        <v>81</v>
      </c>
      <c r="E239" t="s">
        <v>25</v>
      </c>
      <c r="F239" t="s">
        <v>64</v>
      </c>
      <c r="G239" t="s">
        <v>27</v>
      </c>
      <c r="H239" t="s">
        <v>28</v>
      </c>
      <c r="I239" t="s">
        <v>46</v>
      </c>
      <c r="J239">
        <v>16</v>
      </c>
      <c r="K239">
        <v>2.8</v>
      </c>
      <c r="L239">
        <v>14</v>
      </c>
      <c r="M239" t="s">
        <v>30</v>
      </c>
      <c r="N239">
        <v>10</v>
      </c>
      <c r="O239">
        <v>83.6</v>
      </c>
      <c r="P239">
        <v>8</v>
      </c>
      <c r="Q239" t="s">
        <v>31</v>
      </c>
      <c r="R239">
        <v>5</v>
      </c>
      <c r="S239" t="s">
        <v>31</v>
      </c>
      <c r="T239">
        <v>5</v>
      </c>
      <c r="U239" t="s">
        <v>41</v>
      </c>
      <c r="V239" t="s">
        <v>72</v>
      </c>
    </row>
    <row r="240" spans="1:22" x14ac:dyDescent="0.3">
      <c r="A240" t="s">
        <v>377</v>
      </c>
      <c r="B240">
        <v>2026</v>
      </c>
      <c r="C240" t="s">
        <v>134</v>
      </c>
      <c r="D240" t="s">
        <v>156</v>
      </c>
      <c r="E240" t="s">
        <v>36</v>
      </c>
      <c r="F240" t="s">
        <v>105</v>
      </c>
      <c r="G240" t="s">
        <v>27</v>
      </c>
      <c r="H240" t="s">
        <v>31</v>
      </c>
      <c r="I240" t="s">
        <v>49</v>
      </c>
      <c r="J240">
        <v>14</v>
      </c>
      <c r="K240">
        <v>2.6</v>
      </c>
      <c r="L240">
        <v>-1</v>
      </c>
      <c r="M240" t="s">
        <v>47</v>
      </c>
      <c r="N240">
        <v>1</v>
      </c>
      <c r="O240">
        <v>27.26</v>
      </c>
      <c r="P240">
        <v>6</v>
      </c>
      <c r="Q240" t="s">
        <v>39</v>
      </c>
      <c r="R240">
        <v>6</v>
      </c>
      <c r="S240" t="s">
        <v>31</v>
      </c>
      <c r="T240">
        <v>16.5</v>
      </c>
      <c r="U240" t="s">
        <v>28</v>
      </c>
      <c r="V240" t="s">
        <v>51</v>
      </c>
    </row>
    <row r="241" spans="1:22" x14ac:dyDescent="0.3">
      <c r="A241" t="s">
        <v>378</v>
      </c>
      <c r="B241">
        <v>2025</v>
      </c>
      <c r="C241" t="s">
        <v>104</v>
      </c>
      <c r="D241" t="s">
        <v>81</v>
      </c>
      <c r="E241" t="s">
        <v>86</v>
      </c>
      <c r="F241" t="s">
        <v>37</v>
      </c>
      <c r="G241" t="s">
        <v>38</v>
      </c>
      <c r="H241" t="s">
        <v>41</v>
      </c>
      <c r="I241" t="s">
        <v>40</v>
      </c>
      <c r="J241">
        <v>3</v>
      </c>
      <c r="K241">
        <v>2.2000000000000002</v>
      </c>
      <c r="L241">
        <v>-7.3</v>
      </c>
      <c r="M241" t="s">
        <v>30</v>
      </c>
      <c r="N241">
        <v>25</v>
      </c>
      <c r="O241">
        <v>19.09</v>
      </c>
      <c r="P241">
        <v>4</v>
      </c>
      <c r="Q241" t="s">
        <v>39</v>
      </c>
      <c r="R241">
        <v>6</v>
      </c>
      <c r="S241" t="s">
        <v>31</v>
      </c>
      <c r="T241">
        <v>9.8000000000000007</v>
      </c>
      <c r="U241" t="s">
        <v>31</v>
      </c>
      <c r="V241" t="s">
        <v>125</v>
      </c>
    </row>
    <row r="242" spans="1:22" x14ac:dyDescent="0.3">
      <c r="A242" t="s">
        <v>379</v>
      </c>
      <c r="B242">
        <v>2025</v>
      </c>
      <c r="C242" t="s">
        <v>117</v>
      </c>
      <c r="D242" t="s">
        <v>156</v>
      </c>
      <c r="E242" t="s">
        <v>25</v>
      </c>
      <c r="F242" t="s">
        <v>54</v>
      </c>
      <c r="G242" t="s">
        <v>55</v>
      </c>
      <c r="H242" t="s">
        <v>31</v>
      </c>
      <c r="I242" t="s">
        <v>380</v>
      </c>
      <c r="J242">
        <v>24</v>
      </c>
      <c r="K242">
        <v>12.8</v>
      </c>
      <c r="L242">
        <v>6.1</v>
      </c>
      <c r="M242" t="s">
        <v>381</v>
      </c>
      <c r="N242">
        <v>23</v>
      </c>
      <c r="O242">
        <v>25.04</v>
      </c>
      <c r="P242">
        <v>7</v>
      </c>
      <c r="Q242" t="s">
        <v>41</v>
      </c>
      <c r="R242">
        <v>7</v>
      </c>
      <c r="S242" t="s">
        <v>28</v>
      </c>
      <c r="T242">
        <v>7.4</v>
      </c>
      <c r="U242" t="s">
        <v>31</v>
      </c>
      <c r="V242" t="s">
        <v>32</v>
      </c>
    </row>
    <row r="243" spans="1:22" x14ac:dyDescent="0.3">
      <c r="A243" t="s">
        <v>382</v>
      </c>
      <c r="B243">
        <v>2024</v>
      </c>
      <c r="C243" t="s">
        <v>58</v>
      </c>
      <c r="D243" t="s">
        <v>35</v>
      </c>
      <c r="E243" t="s">
        <v>25</v>
      </c>
      <c r="F243" t="s">
        <v>120</v>
      </c>
      <c r="G243" t="s">
        <v>27</v>
      </c>
      <c r="H243" t="s">
        <v>41</v>
      </c>
      <c r="I243" t="s">
        <v>56</v>
      </c>
      <c r="J243">
        <v>17</v>
      </c>
      <c r="K243">
        <v>2.6</v>
      </c>
      <c r="L243">
        <v>14.9</v>
      </c>
      <c r="M243" t="s">
        <v>30</v>
      </c>
      <c r="N243">
        <v>30</v>
      </c>
      <c r="O243">
        <v>17.05</v>
      </c>
      <c r="P243">
        <v>7</v>
      </c>
      <c r="Q243" t="s">
        <v>31</v>
      </c>
      <c r="R243">
        <v>5</v>
      </c>
      <c r="S243" t="s">
        <v>31</v>
      </c>
      <c r="T243">
        <v>9.9</v>
      </c>
      <c r="U243" t="s">
        <v>41</v>
      </c>
      <c r="V243" t="s">
        <v>72</v>
      </c>
    </row>
    <row r="244" spans="1:22" x14ac:dyDescent="0.3">
      <c r="A244" t="s">
        <v>383</v>
      </c>
      <c r="B244">
        <v>2026</v>
      </c>
      <c r="C244" t="s">
        <v>53</v>
      </c>
      <c r="D244" t="s">
        <v>89</v>
      </c>
      <c r="E244" t="s">
        <v>86</v>
      </c>
      <c r="F244" t="s">
        <v>54</v>
      </c>
      <c r="G244" t="s">
        <v>38</v>
      </c>
      <c r="H244" t="s">
        <v>39</v>
      </c>
      <c r="I244" t="s">
        <v>90</v>
      </c>
      <c r="J244">
        <v>87</v>
      </c>
      <c r="K244">
        <v>26</v>
      </c>
      <c r="L244">
        <v>37</v>
      </c>
      <c r="M244" t="s">
        <v>30</v>
      </c>
      <c r="N244">
        <v>5</v>
      </c>
      <c r="O244">
        <v>64.25</v>
      </c>
      <c r="P244">
        <v>10</v>
      </c>
      <c r="Q244" t="s">
        <v>41</v>
      </c>
      <c r="R244">
        <v>7</v>
      </c>
      <c r="S244" t="s">
        <v>91</v>
      </c>
      <c r="T244">
        <v>10.199999999999999</v>
      </c>
      <c r="U244" t="s">
        <v>28</v>
      </c>
      <c r="V244" t="s">
        <v>72</v>
      </c>
    </row>
    <row r="245" spans="1:22" x14ac:dyDescent="0.3">
      <c r="A245" t="s">
        <v>384</v>
      </c>
      <c r="B245">
        <v>2025</v>
      </c>
      <c r="C245" t="s">
        <v>80</v>
      </c>
      <c r="D245" t="s">
        <v>43</v>
      </c>
      <c r="E245" t="s">
        <v>86</v>
      </c>
      <c r="F245" t="s">
        <v>75</v>
      </c>
      <c r="G245" t="s">
        <v>45</v>
      </c>
      <c r="H245" t="s">
        <v>31</v>
      </c>
      <c r="I245" t="s">
        <v>71</v>
      </c>
      <c r="J245">
        <v>15</v>
      </c>
      <c r="K245">
        <v>1.8</v>
      </c>
      <c r="L245">
        <v>4.7</v>
      </c>
      <c r="M245">
        <v>0</v>
      </c>
      <c r="N245">
        <v>0</v>
      </c>
      <c r="O245">
        <v>61.55</v>
      </c>
      <c r="P245">
        <v>5</v>
      </c>
      <c r="Q245" t="s">
        <v>31</v>
      </c>
      <c r="R245">
        <v>5</v>
      </c>
      <c r="S245" t="s">
        <v>41</v>
      </c>
      <c r="T245">
        <v>8.3000000000000007</v>
      </c>
      <c r="U245" t="s">
        <v>39</v>
      </c>
      <c r="V245" t="s">
        <v>51</v>
      </c>
    </row>
    <row r="246" spans="1:22" x14ac:dyDescent="0.3">
      <c r="A246" t="s">
        <v>385</v>
      </c>
      <c r="B246">
        <v>2024</v>
      </c>
      <c r="C246" t="s">
        <v>74</v>
      </c>
      <c r="D246" t="s">
        <v>81</v>
      </c>
      <c r="E246" t="s">
        <v>36</v>
      </c>
      <c r="F246" t="s">
        <v>60</v>
      </c>
      <c r="G246" t="s">
        <v>38</v>
      </c>
      <c r="H246" t="s">
        <v>31</v>
      </c>
      <c r="I246" t="s">
        <v>61</v>
      </c>
      <c r="J246">
        <v>30</v>
      </c>
      <c r="K246">
        <v>4.0999999999999996</v>
      </c>
      <c r="L246">
        <v>5.0999999999999996</v>
      </c>
      <c r="M246" t="s">
        <v>30</v>
      </c>
      <c r="N246">
        <v>25</v>
      </c>
      <c r="O246">
        <v>65.349999999999994</v>
      </c>
      <c r="P246">
        <v>5</v>
      </c>
      <c r="Q246" t="s">
        <v>31</v>
      </c>
      <c r="R246">
        <v>4</v>
      </c>
      <c r="S246" t="s">
        <v>41</v>
      </c>
      <c r="T246">
        <v>11.9</v>
      </c>
      <c r="U246" t="s">
        <v>41</v>
      </c>
      <c r="V246" t="s">
        <v>51</v>
      </c>
    </row>
    <row r="247" spans="1:22" x14ac:dyDescent="0.3">
      <c r="A247" t="s">
        <v>386</v>
      </c>
      <c r="B247">
        <v>2026</v>
      </c>
      <c r="C247" t="s">
        <v>387</v>
      </c>
      <c r="D247" t="s">
        <v>69</v>
      </c>
      <c r="E247" t="s">
        <v>36</v>
      </c>
      <c r="F247" t="s">
        <v>37</v>
      </c>
      <c r="G247" t="s">
        <v>27</v>
      </c>
      <c r="H247" t="s">
        <v>39</v>
      </c>
      <c r="I247" t="s">
        <v>90</v>
      </c>
      <c r="J247">
        <v>67</v>
      </c>
      <c r="K247">
        <v>20.2</v>
      </c>
      <c r="L247">
        <v>26.3</v>
      </c>
      <c r="M247" t="s">
        <v>144</v>
      </c>
      <c r="N247">
        <v>30</v>
      </c>
      <c r="O247">
        <v>115.47</v>
      </c>
      <c r="P247">
        <v>8</v>
      </c>
      <c r="Q247" t="s">
        <v>41</v>
      </c>
      <c r="R247">
        <v>9</v>
      </c>
      <c r="S247" t="s">
        <v>91</v>
      </c>
      <c r="T247">
        <v>4.2</v>
      </c>
      <c r="U247" t="s">
        <v>31</v>
      </c>
      <c r="V247" t="s">
        <v>72</v>
      </c>
    </row>
    <row r="248" spans="1:22" x14ac:dyDescent="0.3">
      <c r="A248" t="s">
        <v>388</v>
      </c>
      <c r="B248">
        <v>2025</v>
      </c>
      <c r="C248" t="s">
        <v>217</v>
      </c>
      <c r="D248" t="s">
        <v>156</v>
      </c>
      <c r="E248" t="s">
        <v>86</v>
      </c>
      <c r="F248" t="s">
        <v>54</v>
      </c>
      <c r="G248" t="s">
        <v>27</v>
      </c>
      <c r="H248" t="s">
        <v>41</v>
      </c>
      <c r="I248" t="s">
        <v>49</v>
      </c>
      <c r="J248">
        <v>3</v>
      </c>
      <c r="K248">
        <v>0.2</v>
      </c>
      <c r="L248">
        <v>-15.5</v>
      </c>
      <c r="M248" t="s">
        <v>47</v>
      </c>
      <c r="N248">
        <v>7</v>
      </c>
      <c r="O248">
        <v>11.3</v>
      </c>
      <c r="P248">
        <v>4</v>
      </c>
      <c r="Q248" t="s">
        <v>28</v>
      </c>
      <c r="R248">
        <v>1</v>
      </c>
      <c r="S248" t="s">
        <v>41</v>
      </c>
      <c r="T248">
        <v>17.100000000000001</v>
      </c>
      <c r="U248" t="s">
        <v>31</v>
      </c>
      <c r="V248" t="s">
        <v>125</v>
      </c>
    </row>
    <row r="249" spans="1:22" x14ac:dyDescent="0.3">
      <c r="A249" t="s">
        <v>389</v>
      </c>
      <c r="B249">
        <v>2025</v>
      </c>
      <c r="C249" t="s">
        <v>58</v>
      </c>
      <c r="D249" t="s">
        <v>69</v>
      </c>
      <c r="E249" t="s">
        <v>36</v>
      </c>
      <c r="F249" t="s">
        <v>113</v>
      </c>
      <c r="G249" t="s">
        <v>55</v>
      </c>
      <c r="H249" t="s">
        <v>31</v>
      </c>
      <c r="I249" t="s">
        <v>56</v>
      </c>
      <c r="J249">
        <v>21</v>
      </c>
      <c r="K249">
        <v>3.1</v>
      </c>
      <c r="L249">
        <v>1.1000000000000001</v>
      </c>
      <c r="M249" t="s">
        <v>47</v>
      </c>
      <c r="N249">
        <v>19</v>
      </c>
      <c r="O249">
        <v>15.06</v>
      </c>
      <c r="P249">
        <v>6</v>
      </c>
      <c r="Q249" t="s">
        <v>41</v>
      </c>
      <c r="R249">
        <v>6</v>
      </c>
      <c r="S249" t="s">
        <v>31</v>
      </c>
      <c r="T249">
        <v>9.6999999999999993</v>
      </c>
      <c r="U249" t="s">
        <v>39</v>
      </c>
      <c r="V249" t="s">
        <v>32</v>
      </c>
    </row>
    <row r="250" spans="1:22" x14ac:dyDescent="0.3">
      <c r="A250" t="s">
        <v>390</v>
      </c>
      <c r="B250">
        <v>2024</v>
      </c>
      <c r="C250" t="s">
        <v>58</v>
      </c>
      <c r="D250" t="s">
        <v>24</v>
      </c>
      <c r="E250" t="s">
        <v>25</v>
      </c>
      <c r="F250" t="s">
        <v>132</v>
      </c>
      <c r="G250" t="s">
        <v>27</v>
      </c>
      <c r="H250" t="s">
        <v>31</v>
      </c>
      <c r="I250" t="s">
        <v>90</v>
      </c>
      <c r="J250">
        <v>31</v>
      </c>
      <c r="K250">
        <v>36.5</v>
      </c>
      <c r="L250">
        <v>14.9</v>
      </c>
      <c r="M250" t="s">
        <v>50</v>
      </c>
      <c r="N250">
        <v>50</v>
      </c>
      <c r="O250">
        <v>122.59</v>
      </c>
      <c r="P250">
        <v>7</v>
      </c>
      <c r="Q250" t="s">
        <v>39</v>
      </c>
      <c r="R250">
        <v>0</v>
      </c>
      <c r="S250" t="s">
        <v>31</v>
      </c>
      <c r="T250">
        <v>12.4</v>
      </c>
      <c r="U250" t="s">
        <v>41</v>
      </c>
      <c r="V250" t="s">
        <v>51</v>
      </c>
    </row>
    <row r="251" spans="1:22" x14ac:dyDescent="0.3">
      <c r="A251" t="s">
        <v>391</v>
      </c>
      <c r="B251">
        <v>2026</v>
      </c>
      <c r="C251" t="s">
        <v>74</v>
      </c>
      <c r="D251" t="s">
        <v>24</v>
      </c>
      <c r="E251" t="s">
        <v>25</v>
      </c>
      <c r="F251" t="s">
        <v>37</v>
      </c>
      <c r="G251" t="s">
        <v>76</v>
      </c>
      <c r="H251" t="s">
        <v>39</v>
      </c>
      <c r="I251" t="s">
        <v>40</v>
      </c>
      <c r="J251">
        <v>75</v>
      </c>
      <c r="K251">
        <v>23.9</v>
      </c>
      <c r="L251">
        <v>37.700000000000003</v>
      </c>
      <c r="M251" t="s">
        <v>144</v>
      </c>
      <c r="N251">
        <v>37</v>
      </c>
      <c r="O251">
        <v>55.31</v>
      </c>
      <c r="P251">
        <v>10</v>
      </c>
      <c r="Q251" t="s">
        <v>392</v>
      </c>
      <c r="R251">
        <v>8</v>
      </c>
      <c r="S251" t="s">
        <v>91</v>
      </c>
      <c r="T251">
        <v>3.4</v>
      </c>
      <c r="U251" t="s">
        <v>31</v>
      </c>
      <c r="V251" t="s">
        <v>72</v>
      </c>
    </row>
    <row r="252" spans="1:22" x14ac:dyDescent="0.3">
      <c r="A252" t="s">
        <v>393</v>
      </c>
      <c r="B252">
        <v>2025</v>
      </c>
      <c r="C252" t="s">
        <v>53</v>
      </c>
      <c r="D252" t="s">
        <v>63</v>
      </c>
      <c r="E252" t="s">
        <v>86</v>
      </c>
      <c r="F252" t="s">
        <v>26</v>
      </c>
      <c r="G252" t="s">
        <v>27</v>
      </c>
      <c r="H252" t="s">
        <v>28</v>
      </c>
      <c r="I252" t="s">
        <v>61</v>
      </c>
      <c r="J252">
        <v>19</v>
      </c>
      <c r="K252">
        <v>1.2</v>
      </c>
      <c r="L252">
        <v>-2.2999999999999998</v>
      </c>
      <c r="M252" t="s">
        <v>30</v>
      </c>
      <c r="N252">
        <v>0</v>
      </c>
      <c r="O252">
        <v>43.1</v>
      </c>
      <c r="P252">
        <v>8</v>
      </c>
      <c r="Q252" t="s">
        <v>31</v>
      </c>
      <c r="R252">
        <v>5</v>
      </c>
      <c r="S252" t="s">
        <v>31</v>
      </c>
      <c r="T252">
        <v>17</v>
      </c>
      <c r="U252" t="s">
        <v>31</v>
      </c>
      <c r="V252" t="s">
        <v>32</v>
      </c>
    </row>
    <row r="253" spans="1:22" hidden="1" x14ac:dyDescent="0.3">
      <c r="A253" t="s">
        <v>394</v>
      </c>
      <c r="B253">
        <v>2025</v>
      </c>
      <c r="C253" t="s">
        <v>117</v>
      </c>
      <c r="D253" t="s">
        <v>69</v>
      </c>
      <c r="E253" t="s">
        <v>36</v>
      </c>
      <c r="F253" t="s">
        <v>37</v>
      </c>
      <c r="G253" t="s">
        <v>55</v>
      </c>
      <c r="H253" t="s">
        <v>114</v>
      </c>
      <c r="I253" t="s">
        <v>115</v>
      </c>
      <c r="J253">
        <v>0</v>
      </c>
      <c r="K253">
        <v>0</v>
      </c>
      <c r="L253">
        <v>1.3</v>
      </c>
      <c r="M253" t="s">
        <v>47</v>
      </c>
      <c r="N253">
        <v>11</v>
      </c>
      <c r="O253">
        <v>0</v>
      </c>
      <c r="P253">
        <v>5</v>
      </c>
      <c r="Q253" t="s">
        <v>28</v>
      </c>
      <c r="R253">
        <v>1</v>
      </c>
      <c r="S253" t="s">
        <v>41</v>
      </c>
      <c r="U253" t="s">
        <v>41</v>
      </c>
      <c r="V253" t="s">
        <v>51</v>
      </c>
    </row>
    <row r="254" spans="1:22" x14ac:dyDescent="0.3">
      <c r="A254" t="s">
        <v>395</v>
      </c>
      <c r="B254">
        <v>2025</v>
      </c>
      <c r="C254" t="s">
        <v>68</v>
      </c>
      <c r="D254" t="s">
        <v>85</v>
      </c>
      <c r="E254" t="s">
        <v>82</v>
      </c>
      <c r="F254" t="s">
        <v>105</v>
      </c>
      <c r="G254" t="s">
        <v>55</v>
      </c>
      <c r="H254" t="s">
        <v>28</v>
      </c>
      <c r="I254" t="s">
        <v>49</v>
      </c>
      <c r="J254">
        <v>40</v>
      </c>
      <c r="K254">
        <v>4.3</v>
      </c>
      <c r="L254">
        <v>11.9</v>
      </c>
      <c r="M254" t="s">
        <v>50</v>
      </c>
      <c r="N254">
        <v>0</v>
      </c>
      <c r="O254">
        <v>25.22</v>
      </c>
      <c r="P254">
        <v>6</v>
      </c>
      <c r="Q254" t="s">
        <v>28</v>
      </c>
      <c r="R254">
        <v>5</v>
      </c>
      <c r="S254" t="s">
        <v>28</v>
      </c>
      <c r="T254">
        <v>5.9</v>
      </c>
      <c r="U254" t="s">
        <v>28</v>
      </c>
      <c r="V254" t="s">
        <v>51</v>
      </c>
    </row>
    <row r="255" spans="1:22" x14ac:dyDescent="0.3">
      <c r="A255" t="s">
        <v>396</v>
      </c>
      <c r="B255">
        <v>2026</v>
      </c>
      <c r="C255" t="s">
        <v>134</v>
      </c>
      <c r="D255" t="s">
        <v>59</v>
      </c>
      <c r="E255" t="s">
        <v>36</v>
      </c>
      <c r="F255" t="s">
        <v>37</v>
      </c>
      <c r="G255" t="s">
        <v>55</v>
      </c>
      <c r="H255" t="s">
        <v>31</v>
      </c>
      <c r="I255" t="s">
        <v>71</v>
      </c>
      <c r="J255">
        <v>31</v>
      </c>
      <c r="K255">
        <v>6.8</v>
      </c>
      <c r="L255">
        <v>5.9</v>
      </c>
      <c r="M255" t="s">
        <v>30</v>
      </c>
      <c r="N255">
        <v>2</v>
      </c>
      <c r="O255">
        <v>126.42</v>
      </c>
      <c r="P255">
        <v>6</v>
      </c>
      <c r="Q255" t="s">
        <v>31</v>
      </c>
      <c r="R255">
        <v>5</v>
      </c>
      <c r="S255" t="s">
        <v>31</v>
      </c>
      <c r="T255">
        <v>10.3</v>
      </c>
      <c r="U255" t="s">
        <v>28</v>
      </c>
      <c r="V255" t="s">
        <v>51</v>
      </c>
    </row>
    <row r="256" spans="1:22" x14ac:dyDescent="0.3">
      <c r="A256" t="s">
        <v>397</v>
      </c>
      <c r="B256">
        <v>2025</v>
      </c>
      <c r="C256" t="s">
        <v>129</v>
      </c>
      <c r="D256" t="s">
        <v>59</v>
      </c>
      <c r="E256" t="s">
        <v>82</v>
      </c>
      <c r="F256" t="s">
        <v>64</v>
      </c>
      <c r="G256" t="s">
        <v>27</v>
      </c>
      <c r="H256" t="s">
        <v>31</v>
      </c>
      <c r="I256" t="s">
        <v>46</v>
      </c>
      <c r="J256">
        <v>26</v>
      </c>
      <c r="K256">
        <v>5.6</v>
      </c>
      <c r="L256">
        <v>30.8</v>
      </c>
      <c r="M256" t="s">
        <v>30</v>
      </c>
      <c r="N256">
        <v>6</v>
      </c>
      <c r="O256">
        <v>113.35</v>
      </c>
      <c r="P256">
        <v>7</v>
      </c>
      <c r="Q256" t="s">
        <v>31</v>
      </c>
      <c r="R256">
        <v>5</v>
      </c>
      <c r="S256" t="s">
        <v>31</v>
      </c>
      <c r="T256">
        <v>6.2</v>
      </c>
      <c r="U256" t="s">
        <v>41</v>
      </c>
      <c r="V256" t="s">
        <v>32</v>
      </c>
    </row>
    <row r="257" spans="1:22" x14ac:dyDescent="0.3">
      <c r="A257" t="s">
        <v>398</v>
      </c>
      <c r="B257">
        <v>2024</v>
      </c>
      <c r="C257" t="s">
        <v>134</v>
      </c>
      <c r="D257" t="s">
        <v>81</v>
      </c>
      <c r="E257" t="s">
        <v>36</v>
      </c>
      <c r="F257" t="s">
        <v>26</v>
      </c>
      <c r="G257" t="s">
        <v>55</v>
      </c>
      <c r="H257" t="s">
        <v>31</v>
      </c>
      <c r="I257" t="s">
        <v>65</v>
      </c>
      <c r="J257">
        <v>6</v>
      </c>
      <c r="K257">
        <v>1</v>
      </c>
      <c r="L257">
        <v>-9.8000000000000007</v>
      </c>
      <c r="M257" t="s">
        <v>47</v>
      </c>
      <c r="N257">
        <v>3</v>
      </c>
      <c r="O257">
        <v>16.28</v>
      </c>
      <c r="P257">
        <v>3</v>
      </c>
      <c r="Q257" t="s">
        <v>39</v>
      </c>
      <c r="R257">
        <v>5</v>
      </c>
      <c r="S257" t="s">
        <v>41</v>
      </c>
      <c r="T257">
        <v>16.100000000000001</v>
      </c>
      <c r="U257" t="s">
        <v>31</v>
      </c>
      <c r="V257" t="s">
        <v>125</v>
      </c>
    </row>
    <row r="258" spans="1:22" x14ac:dyDescent="0.3">
      <c r="A258" t="s">
        <v>399</v>
      </c>
      <c r="B258">
        <v>2026</v>
      </c>
      <c r="C258" t="s">
        <v>129</v>
      </c>
      <c r="D258" t="s">
        <v>24</v>
      </c>
      <c r="E258" t="s">
        <v>82</v>
      </c>
      <c r="F258" t="s">
        <v>44</v>
      </c>
      <c r="G258" t="s">
        <v>76</v>
      </c>
      <c r="H258" t="s">
        <v>31</v>
      </c>
      <c r="I258" t="s">
        <v>71</v>
      </c>
      <c r="J258">
        <v>18</v>
      </c>
      <c r="K258">
        <v>4.7</v>
      </c>
      <c r="L258">
        <v>6.2</v>
      </c>
      <c r="M258" t="s">
        <v>400</v>
      </c>
      <c r="N258">
        <v>11</v>
      </c>
      <c r="O258">
        <v>98.93</v>
      </c>
      <c r="P258">
        <v>4</v>
      </c>
      <c r="Q258" t="s">
        <v>28</v>
      </c>
      <c r="R258">
        <v>6</v>
      </c>
      <c r="S258" t="s">
        <v>28</v>
      </c>
      <c r="T258">
        <v>8</v>
      </c>
      <c r="U258" t="s">
        <v>31</v>
      </c>
      <c r="V258" t="s">
        <v>51</v>
      </c>
    </row>
    <row r="259" spans="1:22" x14ac:dyDescent="0.3">
      <c r="A259" t="s">
        <v>401</v>
      </c>
      <c r="B259">
        <v>2026</v>
      </c>
      <c r="C259" t="s">
        <v>34</v>
      </c>
      <c r="D259" t="s">
        <v>63</v>
      </c>
      <c r="E259" t="s">
        <v>25</v>
      </c>
      <c r="F259" t="s">
        <v>60</v>
      </c>
      <c r="G259" t="s">
        <v>38</v>
      </c>
      <c r="H259" t="s">
        <v>31</v>
      </c>
      <c r="I259" t="s">
        <v>61</v>
      </c>
      <c r="J259">
        <v>52</v>
      </c>
      <c r="K259">
        <v>6.5</v>
      </c>
      <c r="L259">
        <v>35.5</v>
      </c>
      <c r="M259" t="s">
        <v>50</v>
      </c>
      <c r="N259">
        <v>11</v>
      </c>
      <c r="O259">
        <v>64.34</v>
      </c>
      <c r="P259">
        <v>9</v>
      </c>
      <c r="Q259" t="s">
        <v>28</v>
      </c>
      <c r="R259">
        <v>6</v>
      </c>
      <c r="S259" t="s">
        <v>28</v>
      </c>
      <c r="T259">
        <v>4.4000000000000004</v>
      </c>
      <c r="U259" t="s">
        <v>39</v>
      </c>
      <c r="V259" t="s">
        <v>32</v>
      </c>
    </row>
    <row r="260" spans="1:22" x14ac:dyDescent="0.3">
      <c r="A260" t="s">
        <v>402</v>
      </c>
      <c r="B260">
        <v>2025</v>
      </c>
      <c r="C260" t="s">
        <v>74</v>
      </c>
      <c r="D260" t="s">
        <v>63</v>
      </c>
      <c r="E260" t="s">
        <v>36</v>
      </c>
      <c r="F260" t="s">
        <v>54</v>
      </c>
      <c r="G260" t="s">
        <v>45</v>
      </c>
      <c r="H260" t="s">
        <v>31</v>
      </c>
      <c r="I260" t="s">
        <v>56</v>
      </c>
      <c r="J260">
        <v>10</v>
      </c>
      <c r="K260">
        <v>1.1000000000000001</v>
      </c>
      <c r="L260">
        <v>-0.7</v>
      </c>
      <c r="M260" t="s">
        <v>47</v>
      </c>
      <c r="N260">
        <v>19</v>
      </c>
      <c r="O260">
        <v>20.350000000000001</v>
      </c>
      <c r="P260">
        <v>4</v>
      </c>
      <c r="Q260" t="s">
        <v>31</v>
      </c>
      <c r="R260">
        <v>4</v>
      </c>
      <c r="S260" t="s">
        <v>31</v>
      </c>
      <c r="T260">
        <v>10.8</v>
      </c>
      <c r="U260" t="s">
        <v>39</v>
      </c>
      <c r="V260" t="s">
        <v>125</v>
      </c>
    </row>
    <row r="261" spans="1:22" x14ac:dyDescent="0.3">
      <c r="A261" t="s">
        <v>403</v>
      </c>
      <c r="B261">
        <v>2024</v>
      </c>
      <c r="C261" t="s">
        <v>80</v>
      </c>
      <c r="D261" t="s">
        <v>59</v>
      </c>
      <c r="E261" t="s">
        <v>82</v>
      </c>
      <c r="F261" t="s">
        <v>87</v>
      </c>
      <c r="G261" t="s">
        <v>55</v>
      </c>
      <c r="H261" t="s">
        <v>31</v>
      </c>
      <c r="I261" t="s">
        <v>90</v>
      </c>
      <c r="J261">
        <v>17</v>
      </c>
      <c r="K261">
        <v>5.2</v>
      </c>
      <c r="L261">
        <v>1.1000000000000001</v>
      </c>
      <c r="M261" t="s">
        <v>122</v>
      </c>
      <c r="N261">
        <v>11</v>
      </c>
      <c r="O261">
        <v>71.41</v>
      </c>
      <c r="P261">
        <v>4</v>
      </c>
      <c r="Q261" t="s">
        <v>28</v>
      </c>
      <c r="R261">
        <v>6</v>
      </c>
      <c r="S261" t="s">
        <v>41</v>
      </c>
      <c r="T261">
        <v>4.5999999999999996</v>
      </c>
      <c r="U261" t="s">
        <v>31</v>
      </c>
      <c r="V261" t="s">
        <v>32</v>
      </c>
    </row>
    <row r="262" spans="1:22" x14ac:dyDescent="0.3">
      <c r="A262" t="s">
        <v>404</v>
      </c>
      <c r="B262">
        <v>2026</v>
      </c>
      <c r="C262" t="s">
        <v>117</v>
      </c>
      <c r="D262" t="s">
        <v>69</v>
      </c>
      <c r="E262" t="s">
        <v>36</v>
      </c>
      <c r="F262" t="s">
        <v>54</v>
      </c>
      <c r="G262" t="s">
        <v>38</v>
      </c>
      <c r="H262" t="s">
        <v>28</v>
      </c>
      <c r="I262" t="s">
        <v>49</v>
      </c>
      <c r="J262">
        <v>61</v>
      </c>
      <c r="K262">
        <v>16</v>
      </c>
      <c r="L262">
        <v>12.7</v>
      </c>
      <c r="M262" t="s">
        <v>30</v>
      </c>
      <c r="N262">
        <v>22</v>
      </c>
      <c r="O262">
        <v>42.81</v>
      </c>
      <c r="P262">
        <v>8</v>
      </c>
      <c r="Q262" t="s">
        <v>41</v>
      </c>
      <c r="R262">
        <v>9</v>
      </c>
      <c r="S262" t="s">
        <v>28</v>
      </c>
      <c r="T262">
        <v>6.6</v>
      </c>
      <c r="U262" t="s">
        <v>28</v>
      </c>
      <c r="V262" t="s">
        <v>72</v>
      </c>
    </row>
    <row r="263" spans="1:22" x14ac:dyDescent="0.3">
      <c r="A263" t="s">
        <v>405</v>
      </c>
      <c r="B263">
        <v>2025</v>
      </c>
      <c r="C263" t="s">
        <v>74</v>
      </c>
      <c r="D263" t="s">
        <v>156</v>
      </c>
      <c r="E263" t="s">
        <v>36</v>
      </c>
      <c r="F263" t="s">
        <v>44</v>
      </c>
      <c r="G263" t="s">
        <v>45</v>
      </c>
      <c r="H263" t="s">
        <v>41</v>
      </c>
      <c r="I263" t="s">
        <v>46</v>
      </c>
      <c r="J263">
        <v>6</v>
      </c>
      <c r="K263">
        <v>0.6</v>
      </c>
      <c r="L263">
        <v>6.9</v>
      </c>
      <c r="M263" t="s">
        <v>406</v>
      </c>
      <c r="N263">
        <v>0</v>
      </c>
      <c r="O263">
        <v>20.66</v>
      </c>
      <c r="P263">
        <v>5</v>
      </c>
      <c r="Q263" t="s">
        <v>39</v>
      </c>
      <c r="R263">
        <v>4</v>
      </c>
      <c r="S263" t="s">
        <v>41</v>
      </c>
      <c r="T263">
        <v>8.8000000000000007</v>
      </c>
      <c r="U263" t="s">
        <v>31</v>
      </c>
      <c r="V263" t="s">
        <v>32</v>
      </c>
    </row>
    <row r="264" spans="1:22" x14ac:dyDescent="0.3">
      <c r="A264" t="s">
        <v>407</v>
      </c>
      <c r="B264">
        <v>2025</v>
      </c>
      <c r="C264" t="s">
        <v>117</v>
      </c>
      <c r="D264" t="s">
        <v>24</v>
      </c>
      <c r="E264" t="s">
        <v>36</v>
      </c>
      <c r="F264" t="s">
        <v>98</v>
      </c>
      <c r="G264" t="s">
        <v>55</v>
      </c>
      <c r="H264" t="s">
        <v>31</v>
      </c>
      <c r="I264" t="s">
        <v>56</v>
      </c>
      <c r="J264">
        <v>19</v>
      </c>
      <c r="K264">
        <v>4.5999999999999996</v>
      </c>
      <c r="L264">
        <v>-4.9000000000000004</v>
      </c>
      <c r="M264" t="s">
        <v>30</v>
      </c>
      <c r="N264">
        <v>27</v>
      </c>
      <c r="O264">
        <v>25.98</v>
      </c>
      <c r="P264">
        <v>6</v>
      </c>
      <c r="Q264" t="s">
        <v>28</v>
      </c>
      <c r="R264">
        <v>5</v>
      </c>
      <c r="S264" t="s">
        <v>31</v>
      </c>
      <c r="T264">
        <v>13.9</v>
      </c>
      <c r="U264" t="s">
        <v>31</v>
      </c>
      <c r="V264" t="s">
        <v>51</v>
      </c>
    </row>
    <row r="265" spans="1:22" x14ac:dyDescent="0.3">
      <c r="A265" t="s">
        <v>408</v>
      </c>
      <c r="B265">
        <v>2026</v>
      </c>
      <c r="C265" t="s">
        <v>53</v>
      </c>
      <c r="D265" t="s">
        <v>156</v>
      </c>
      <c r="E265" t="s">
        <v>25</v>
      </c>
      <c r="F265" t="s">
        <v>75</v>
      </c>
      <c r="G265" t="s">
        <v>38</v>
      </c>
      <c r="H265" t="s">
        <v>28</v>
      </c>
      <c r="I265" t="s">
        <v>49</v>
      </c>
      <c r="J265">
        <v>24</v>
      </c>
      <c r="K265">
        <v>3.1</v>
      </c>
      <c r="L265">
        <v>-4.8</v>
      </c>
      <c r="M265" t="s">
        <v>30</v>
      </c>
      <c r="N265">
        <v>3</v>
      </c>
      <c r="O265">
        <v>77.05</v>
      </c>
      <c r="P265">
        <v>8</v>
      </c>
      <c r="Q265" t="s">
        <v>31</v>
      </c>
      <c r="R265">
        <v>6</v>
      </c>
      <c r="S265" t="s">
        <v>31</v>
      </c>
      <c r="T265">
        <v>5.8</v>
      </c>
      <c r="U265" t="s">
        <v>31</v>
      </c>
      <c r="V265" t="s">
        <v>32</v>
      </c>
    </row>
    <row r="266" spans="1:22" x14ac:dyDescent="0.3">
      <c r="A266" t="s">
        <v>409</v>
      </c>
      <c r="B266">
        <v>2024</v>
      </c>
      <c r="C266" t="s">
        <v>134</v>
      </c>
      <c r="D266" t="s">
        <v>156</v>
      </c>
      <c r="E266" t="s">
        <v>86</v>
      </c>
      <c r="F266" t="s">
        <v>75</v>
      </c>
      <c r="G266" t="s">
        <v>55</v>
      </c>
      <c r="H266" t="s">
        <v>41</v>
      </c>
      <c r="I266" t="s">
        <v>49</v>
      </c>
      <c r="J266">
        <v>6</v>
      </c>
      <c r="K266">
        <v>0.5</v>
      </c>
      <c r="L266">
        <v>1.1000000000000001</v>
      </c>
      <c r="M266" t="s">
        <v>47</v>
      </c>
      <c r="N266">
        <v>0</v>
      </c>
      <c r="O266">
        <v>17.82</v>
      </c>
      <c r="P266">
        <v>5</v>
      </c>
      <c r="Q266" t="s">
        <v>41</v>
      </c>
      <c r="R266">
        <v>4</v>
      </c>
      <c r="S266" t="s">
        <v>31</v>
      </c>
      <c r="T266">
        <v>9.6</v>
      </c>
      <c r="U266" t="s">
        <v>28</v>
      </c>
      <c r="V266" t="s">
        <v>125</v>
      </c>
    </row>
    <row r="267" spans="1:22" hidden="1" x14ac:dyDescent="0.3">
      <c r="A267" t="s">
        <v>410</v>
      </c>
      <c r="B267">
        <v>2024</v>
      </c>
      <c r="C267" t="s">
        <v>34</v>
      </c>
      <c r="D267" t="s">
        <v>24</v>
      </c>
      <c r="E267" t="s">
        <v>86</v>
      </c>
      <c r="F267" t="s">
        <v>44</v>
      </c>
      <c r="G267" t="s">
        <v>27</v>
      </c>
      <c r="H267" t="s">
        <v>114</v>
      </c>
      <c r="I267" t="s">
        <v>115</v>
      </c>
      <c r="J267">
        <v>0</v>
      </c>
      <c r="K267">
        <v>0</v>
      </c>
      <c r="L267">
        <v>2.2000000000000002</v>
      </c>
      <c r="M267" t="s">
        <v>47</v>
      </c>
      <c r="N267">
        <v>5</v>
      </c>
      <c r="O267">
        <v>0</v>
      </c>
      <c r="P267">
        <v>5</v>
      </c>
      <c r="Q267" t="s">
        <v>28</v>
      </c>
      <c r="R267">
        <v>3</v>
      </c>
      <c r="S267" t="s">
        <v>41</v>
      </c>
      <c r="U267" t="s">
        <v>39</v>
      </c>
      <c r="V267" t="s">
        <v>51</v>
      </c>
    </row>
    <row r="268" spans="1:22" x14ac:dyDescent="0.3">
      <c r="A268" t="s">
        <v>411</v>
      </c>
      <c r="B268">
        <v>2026</v>
      </c>
      <c r="C268" t="s">
        <v>58</v>
      </c>
      <c r="D268" t="s">
        <v>81</v>
      </c>
      <c r="E268" t="s">
        <v>82</v>
      </c>
      <c r="F268" t="s">
        <v>64</v>
      </c>
      <c r="G268" t="s">
        <v>55</v>
      </c>
      <c r="H268" t="s">
        <v>39</v>
      </c>
      <c r="I268" t="s">
        <v>65</v>
      </c>
      <c r="J268">
        <v>44</v>
      </c>
      <c r="K268">
        <v>10.4</v>
      </c>
      <c r="L268">
        <v>23.7</v>
      </c>
      <c r="M268" t="s">
        <v>144</v>
      </c>
      <c r="N268">
        <v>44</v>
      </c>
      <c r="O268">
        <v>215.02</v>
      </c>
      <c r="P268">
        <v>7</v>
      </c>
      <c r="Q268" t="s">
        <v>28</v>
      </c>
      <c r="R268">
        <v>7</v>
      </c>
      <c r="S268" t="s">
        <v>28</v>
      </c>
      <c r="T268">
        <v>7</v>
      </c>
      <c r="U268" t="s">
        <v>41</v>
      </c>
      <c r="V268" t="s">
        <v>32</v>
      </c>
    </row>
    <row r="269" spans="1:22" x14ac:dyDescent="0.3">
      <c r="A269" t="s">
        <v>412</v>
      </c>
      <c r="B269">
        <v>2026</v>
      </c>
      <c r="C269" t="s">
        <v>134</v>
      </c>
      <c r="D269" t="s">
        <v>24</v>
      </c>
      <c r="E269" t="s">
        <v>82</v>
      </c>
      <c r="F269" t="s">
        <v>37</v>
      </c>
      <c r="G269" t="s">
        <v>76</v>
      </c>
      <c r="H269" t="s">
        <v>41</v>
      </c>
      <c r="I269" t="s">
        <v>71</v>
      </c>
      <c r="J269">
        <v>17</v>
      </c>
      <c r="K269">
        <v>4.9000000000000004</v>
      </c>
      <c r="L269">
        <v>17.5</v>
      </c>
      <c r="M269" t="s">
        <v>50</v>
      </c>
      <c r="N269">
        <v>14</v>
      </c>
      <c r="O269">
        <v>67.95</v>
      </c>
      <c r="P269">
        <v>7</v>
      </c>
      <c r="Q269" t="s">
        <v>39</v>
      </c>
      <c r="R269">
        <v>5</v>
      </c>
      <c r="S269" t="s">
        <v>31</v>
      </c>
      <c r="T269">
        <v>6.5</v>
      </c>
      <c r="U269" t="s">
        <v>41</v>
      </c>
      <c r="V269" t="s">
        <v>51</v>
      </c>
    </row>
    <row r="270" spans="1:22" x14ac:dyDescent="0.3">
      <c r="A270" t="s">
        <v>413</v>
      </c>
      <c r="B270">
        <v>2026</v>
      </c>
      <c r="C270" t="s">
        <v>53</v>
      </c>
      <c r="D270" t="s">
        <v>81</v>
      </c>
      <c r="E270" t="s">
        <v>36</v>
      </c>
      <c r="F270" t="s">
        <v>60</v>
      </c>
      <c r="G270" t="s">
        <v>27</v>
      </c>
      <c r="H270" t="s">
        <v>28</v>
      </c>
      <c r="I270" t="s">
        <v>61</v>
      </c>
      <c r="J270">
        <v>53</v>
      </c>
      <c r="K270">
        <v>3.7</v>
      </c>
      <c r="L270">
        <v>4.5</v>
      </c>
      <c r="M270" t="s">
        <v>144</v>
      </c>
      <c r="N270">
        <v>35</v>
      </c>
      <c r="O270">
        <v>63.44</v>
      </c>
      <c r="P270">
        <v>9</v>
      </c>
      <c r="Q270" t="s">
        <v>31</v>
      </c>
      <c r="R270">
        <v>6</v>
      </c>
      <c r="S270" t="s">
        <v>28</v>
      </c>
      <c r="T270">
        <v>10.7</v>
      </c>
      <c r="U270" t="s">
        <v>31</v>
      </c>
      <c r="V270" t="s">
        <v>72</v>
      </c>
    </row>
    <row r="271" spans="1:22" x14ac:dyDescent="0.3">
      <c r="A271" t="s">
        <v>414</v>
      </c>
      <c r="B271">
        <v>2025</v>
      </c>
      <c r="C271" t="s">
        <v>74</v>
      </c>
      <c r="D271" t="s">
        <v>415</v>
      </c>
      <c r="E271" t="s">
        <v>25</v>
      </c>
      <c r="F271" t="s">
        <v>120</v>
      </c>
      <c r="G271" t="s">
        <v>55</v>
      </c>
      <c r="H271" t="s">
        <v>31</v>
      </c>
      <c r="I271" t="s">
        <v>56</v>
      </c>
      <c r="J271">
        <v>13</v>
      </c>
      <c r="K271">
        <v>2.8</v>
      </c>
      <c r="L271">
        <v>11.4</v>
      </c>
      <c r="M271" t="s">
        <v>50</v>
      </c>
      <c r="N271">
        <v>18</v>
      </c>
      <c r="O271">
        <v>37.159999999999997</v>
      </c>
      <c r="P271">
        <v>8</v>
      </c>
      <c r="Q271" t="s">
        <v>31</v>
      </c>
      <c r="R271">
        <v>5</v>
      </c>
      <c r="S271" t="s">
        <v>31</v>
      </c>
      <c r="T271">
        <v>6</v>
      </c>
      <c r="U271" t="s">
        <v>41</v>
      </c>
      <c r="V271" t="s">
        <v>72</v>
      </c>
    </row>
    <row r="272" spans="1:22" x14ac:dyDescent="0.3">
      <c r="A272" t="s">
        <v>416</v>
      </c>
      <c r="B272">
        <v>2025</v>
      </c>
      <c r="C272" t="s">
        <v>134</v>
      </c>
      <c r="D272" t="s">
        <v>69</v>
      </c>
      <c r="E272" t="s">
        <v>36</v>
      </c>
      <c r="F272" t="s">
        <v>64</v>
      </c>
      <c r="G272" t="s">
        <v>27</v>
      </c>
      <c r="H272" t="s">
        <v>41</v>
      </c>
      <c r="I272" t="s">
        <v>71</v>
      </c>
      <c r="J272">
        <v>12</v>
      </c>
      <c r="K272">
        <v>4.0999999999999996</v>
      </c>
      <c r="L272">
        <v>1.4</v>
      </c>
      <c r="M272" t="s">
        <v>30</v>
      </c>
      <c r="N272">
        <v>22</v>
      </c>
      <c r="O272">
        <v>33.57</v>
      </c>
      <c r="P272">
        <v>6</v>
      </c>
      <c r="Q272" t="s">
        <v>31</v>
      </c>
      <c r="R272">
        <v>4</v>
      </c>
      <c r="S272" t="s">
        <v>31</v>
      </c>
      <c r="T272">
        <v>8.9</v>
      </c>
      <c r="U272" t="s">
        <v>31</v>
      </c>
      <c r="V272" t="s">
        <v>32</v>
      </c>
    </row>
    <row r="273" spans="1:22" x14ac:dyDescent="0.3">
      <c r="A273" t="s">
        <v>417</v>
      </c>
      <c r="B273">
        <v>2026</v>
      </c>
      <c r="C273" t="s">
        <v>80</v>
      </c>
      <c r="D273" t="s">
        <v>81</v>
      </c>
      <c r="E273" t="s">
        <v>25</v>
      </c>
      <c r="F273" t="s">
        <v>132</v>
      </c>
      <c r="G273" t="s">
        <v>27</v>
      </c>
      <c r="H273" t="s">
        <v>28</v>
      </c>
      <c r="I273" t="s">
        <v>65</v>
      </c>
      <c r="J273">
        <v>26</v>
      </c>
      <c r="K273">
        <v>4.0999999999999996</v>
      </c>
      <c r="L273">
        <v>-9.9</v>
      </c>
      <c r="M273" t="s">
        <v>47</v>
      </c>
      <c r="N273">
        <v>7</v>
      </c>
      <c r="O273">
        <v>56.85</v>
      </c>
      <c r="P273">
        <v>6</v>
      </c>
      <c r="Q273" t="s">
        <v>31</v>
      </c>
      <c r="R273">
        <v>4</v>
      </c>
      <c r="S273" t="s">
        <v>31</v>
      </c>
      <c r="T273">
        <v>13.7</v>
      </c>
      <c r="U273" t="s">
        <v>28</v>
      </c>
      <c r="V273" t="s">
        <v>51</v>
      </c>
    </row>
    <row r="274" spans="1:22" x14ac:dyDescent="0.3">
      <c r="A274" t="s">
        <v>418</v>
      </c>
      <c r="B274">
        <v>2025</v>
      </c>
      <c r="C274" t="s">
        <v>129</v>
      </c>
      <c r="D274" t="s">
        <v>69</v>
      </c>
      <c r="E274" t="s">
        <v>419</v>
      </c>
      <c r="F274" t="s">
        <v>70</v>
      </c>
      <c r="G274" t="s">
        <v>76</v>
      </c>
      <c r="H274" t="s">
        <v>41</v>
      </c>
      <c r="I274" t="s">
        <v>65</v>
      </c>
      <c r="J274">
        <v>4</v>
      </c>
      <c r="K274">
        <v>0.7</v>
      </c>
      <c r="L274">
        <v>15.7</v>
      </c>
      <c r="M274" t="s">
        <v>30</v>
      </c>
      <c r="N274">
        <v>23</v>
      </c>
      <c r="O274">
        <v>22.78</v>
      </c>
      <c r="P274">
        <v>5</v>
      </c>
      <c r="Q274" t="s">
        <v>39</v>
      </c>
      <c r="R274">
        <v>5</v>
      </c>
      <c r="S274" t="s">
        <v>31</v>
      </c>
      <c r="T274">
        <v>5.9</v>
      </c>
      <c r="U274" t="s">
        <v>41</v>
      </c>
      <c r="V274" t="s">
        <v>32</v>
      </c>
    </row>
    <row r="275" spans="1:22" x14ac:dyDescent="0.3">
      <c r="A275" t="s">
        <v>420</v>
      </c>
      <c r="B275">
        <v>2025</v>
      </c>
      <c r="C275" t="s">
        <v>53</v>
      </c>
      <c r="D275" t="s">
        <v>81</v>
      </c>
      <c r="E275" t="s">
        <v>36</v>
      </c>
      <c r="F275" t="s">
        <v>37</v>
      </c>
      <c r="G275" t="s">
        <v>55</v>
      </c>
      <c r="H275" t="s">
        <v>31</v>
      </c>
      <c r="I275" t="s">
        <v>40</v>
      </c>
      <c r="J275">
        <v>15</v>
      </c>
      <c r="K275">
        <v>3.1</v>
      </c>
      <c r="L275">
        <v>18.600000000000001</v>
      </c>
      <c r="M275" t="s">
        <v>30</v>
      </c>
      <c r="N275">
        <v>20</v>
      </c>
      <c r="O275">
        <v>186.81</v>
      </c>
      <c r="P275">
        <v>7</v>
      </c>
      <c r="Q275" t="s">
        <v>31</v>
      </c>
      <c r="R275">
        <v>4</v>
      </c>
      <c r="S275" t="s">
        <v>31</v>
      </c>
      <c r="T275">
        <v>7.5</v>
      </c>
      <c r="U275" t="s">
        <v>31</v>
      </c>
      <c r="V275" t="s">
        <v>32</v>
      </c>
    </row>
    <row r="276" spans="1:22" x14ac:dyDescent="0.3">
      <c r="A276" t="s">
        <v>421</v>
      </c>
      <c r="B276">
        <v>2026</v>
      </c>
      <c r="C276" t="s">
        <v>58</v>
      </c>
      <c r="D276" t="s">
        <v>85</v>
      </c>
      <c r="E276" t="s">
        <v>86</v>
      </c>
      <c r="F276" t="s">
        <v>44</v>
      </c>
      <c r="G276" t="s">
        <v>55</v>
      </c>
      <c r="H276" t="s">
        <v>41</v>
      </c>
      <c r="I276" t="s">
        <v>65</v>
      </c>
      <c r="J276">
        <v>5</v>
      </c>
      <c r="K276">
        <v>2.4</v>
      </c>
      <c r="L276">
        <v>-4.3</v>
      </c>
      <c r="M276" t="s">
        <v>30</v>
      </c>
      <c r="N276">
        <v>0</v>
      </c>
      <c r="O276">
        <v>22.55</v>
      </c>
      <c r="P276">
        <v>5</v>
      </c>
      <c r="Q276" t="s">
        <v>31</v>
      </c>
      <c r="R276">
        <v>5</v>
      </c>
      <c r="S276" t="s">
        <v>31</v>
      </c>
      <c r="T276">
        <v>15.1</v>
      </c>
      <c r="U276" t="s">
        <v>31</v>
      </c>
      <c r="V276" t="s">
        <v>422</v>
      </c>
    </row>
    <row r="277" spans="1:22" x14ac:dyDescent="0.3">
      <c r="A277" t="s">
        <v>423</v>
      </c>
      <c r="B277">
        <v>2026</v>
      </c>
      <c r="C277" t="s">
        <v>53</v>
      </c>
      <c r="D277" t="s">
        <v>24</v>
      </c>
      <c r="E277" t="s">
        <v>86</v>
      </c>
      <c r="F277" t="s">
        <v>60</v>
      </c>
      <c r="G277" t="s">
        <v>45</v>
      </c>
      <c r="H277" t="s">
        <v>31</v>
      </c>
      <c r="I277" t="s">
        <v>61</v>
      </c>
      <c r="J277">
        <v>34</v>
      </c>
      <c r="K277">
        <v>5.9</v>
      </c>
      <c r="L277">
        <v>-13.2</v>
      </c>
      <c r="M277" t="s">
        <v>30</v>
      </c>
      <c r="N277">
        <v>3</v>
      </c>
      <c r="O277">
        <v>31.25</v>
      </c>
      <c r="P277">
        <v>6</v>
      </c>
      <c r="Q277" t="s">
        <v>39</v>
      </c>
      <c r="R277">
        <v>6</v>
      </c>
      <c r="S277" t="s">
        <v>31</v>
      </c>
      <c r="T277">
        <v>10.4</v>
      </c>
      <c r="U277" t="s">
        <v>28</v>
      </c>
      <c r="V277" t="s">
        <v>125</v>
      </c>
    </row>
    <row r="278" spans="1:22" x14ac:dyDescent="0.3">
      <c r="A278" t="s">
        <v>424</v>
      </c>
      <c r="B278">
        <v>2026</v>
      </c>
      <c r="C278" t="s">
        <v>425</v>
      </c>
      <c r="D278" t="s">
        <v>59</v>
      </c>
      <c r="E278" t="s">
        <v>36</v>
      </c>
      <c r="F278" t="s">
        <v>75</v>
      </c>
      <c r="G278" t="s">
        <v>27</v>
      </c>
      <c r="H278" t="s">
        <v>28</v>
      </c>
      <c r="I278" t="s">
        <v>71</v>
      </c>
      <c r="J278">
        <v>74</v>
      </c>
      <c r="K278">
        <v>18</v>
      </c>
      <c r="L278">
        <v>20.8</v>
      </c>
      <c r="M278" t="s">
        <v>50</v>
      </c>
      <c r="N278">
        <v>33</v>
      </c>
      <c r="O278">
        <v>189.97</v>
      </c>
      <c r="P278">
        <v>6</v>
      </c>
      <c r="Q278" t="s">
        <v>41</v>
      </c>
      <c r="R278">
        <v>5</v>
      </c>
      <c r="S278" t="s">
        <v>31</v>
      </c>
      <c r="T278">
        <v>17.600000000000001</v>
      </c>
      <c r="U278" t="s">
        <v>28</v>
      </c>
      <c r="V278" t="s">
        <v>32</v>
      </c>
    </row>
    <row r="279" spans="1:22" x14ac:dyDescent="0.3">
      <c r="A279" t="s">
        <v>426</v>
      </c>
      <c r="B279">
        <v>2026</v>
      </c>
      <c r="C279" t="s">
        <v>84</v>
      </c>
      <c r="D279" t="s">
        <v>69</v>
      </c>
      <c r="E279" t="s">
        <v>36</v>
      </c>
      <c r="F279" t="s">
        <v>113</v>
      </c>
      <c r="G279" t="s">
        <v>76</v>
      </c>
      <c r="H279" t="s">
        <v>28</v>
      </c>
      <c r="I279" t="s">
        <v>71</v>
      </c>
      <c r="J279">
        <v>16</v>
      </c>
      <c r="K279">
        <v>6</v>
      </c>
      <c r="L279">
        <v>14.2</v>
      </c>
      <c r="M279" t="s">
        <v>30</v>
      </c>
      <c r="N279">
        <v>12</v>
      </c>
      <c r="O279">
        <v>105.1</v>
      </c>
      <c r="P279">
        <v>7</v>
      </c>
      <c r="Q279" t="s">
        <v>31</v>
      </c>
      <c r="R279">
        <v>6</v>
      </c>
      <c r="S279" t="s">
        <v>28</v>
      </c>
      <c r="T279">
        <v>11</v>
      </c>
      <c r="U279" t="s">
        <v>28</v>
      </c>
      <c r="V279" t="s">
        <v>32</v>
      </c>
    </row>
    <row r="280" spans="1:22" x14ac:dyDescent="0.3">
      <c r="A280" t="s">
        <v>427</v>
      </c>
      <c r="B280">
        <v>2025</v>
      </c>
      <c r="C280" t="s">
        <v>94</v>
      </c>
      <c r="D280" t="s">
        <v>63</v>
      </c>
      <c r="E280" t="s">
        <v>86</v>
      </c>
      <c r="F280" t="s">
        <v>64</v>
      </c>
      <c r="G280" t="s">
        <v>38</v>
      </c>
      <c r="H280" t="s">
        <v>31</v>
      </c>
      <c r="I280" t="s">
        <v>46</v>
      </c>
      <c r="J280">
        <v>10</v>
      </c>
      <c r="K280">
        <v>0.8</v>
      </c>
      <c r="L280">
        <v>-19.3</v>
      </c>
      <c r="M280" t="s">
        <v>30</v>
      </c>
      <c r="N280">
        <v>0</v>
      </c>
      <c r="O280">
        <v>42.57</v>
      </c>
      <c r="P280">
        <v>5</v>
      </c>
      <c r="Q280" t="s">
        <v>31</v>
      </c>
      <c r="R280">
        <v>3</v>
      </c>
      <c r="S280" t="s">
        <v>31</v>
      </c>
      <c r="T280">
        <v>11.8</v>
      </c>
      <c r="U280" t="s">
        <v>31</v>
      </c>
      <c r="V280" t="s">
        <v>51</v>
      </c>
    </row>
    <row r="281" spans="1:22" x14ac:dyDescent="0.3">
      <c r="A281" t="s">
        <v>428</v>
      </c>
      <c r="B281">
        <v>2025</v>
      </c>
      <c r="C281" t="s">
        <v>104</v>
      </c>
      <c r="D281" t="s">
        <v>35</v>
      </c>
      <c r="E281" t="s">
        <v>36</v>
      </c>
      <c r="F281" t="s">
        <v>70</v>
      </c>
      <c r="G281" t="s">
        <v>55</v>
      </c>
      <c r="H281" t="s">
        <v>41</v>
      </c>
      <c r="I281" t="s">
        <v>71</v>
      </c>
      <c r="J281">
        <v>7</v>
      </c>
      <c r="K281">
        <v>1.4</v>
      </c>
      <c r="L281">
        <v>-1.9</v>
      </c>
      <c r="M281" t="s">
        <v>47</v>
      </c>
      <c r="N281">
        <v>8</v>
      </c>
      <c r="O281">
        <v>81.75</v>
      </c>
      <c r="P281">
        <v>9</v>
      </c>
      <c r="Q281" t="s">
        <v>31</v>
      </c>
      <c r="R281">
        <v>3</v>
      </c>
      <c r="S281" t="s">
        <v>41</v>
      </c>
      <c r="T281">
        <v>8.1999999999999993</v>
      </c>
      <c r="U281" t="s">
        <v>41</v>
      </c>
      <c r="V281" t="s">
        <v>32</v>
      </c>
    </row>
    <row r="282" spans="1:22" x14ac:dyDescent="0.3">
      <c r="A282" t="s">
        <v>429</v>
      </c>
      <c r="B282">
        <v>2026</v>
      </c>
      <c r="C282" t="s">
        <v>74</v>
      </c>
      <c r="D282" t="s">
        <v>81</v>
      </c>
      <c r="E282" t="s">
        <v>111</v>
      </c>
      <c r="F282" t="s">
        <v>87</v>
      </c>
      <c r="G282" t="s">
        <v>27</v>
      </c>
      <c r="H282" t="s">
        <v>39</v>
      </c>
      <c r="I282" t="s">
        <v>71</v>
      </c>
      <c r="J282">
        <v>50</v>
      </c>
      <c r="K282">
        <v>0</v>
      </c>
      <c r="L282">
        <v>7.1</v>
      </c>
      <c r="M282" t="s">
        <v>50</v>
      </c>
      <c r="N282">
        <v>32</v>
      </c>
      <c r="O282">
        <v>229.27</v>
      </c>
      <c r="P282">
        <v>7</v>
      </c>
      <c r="Q282" t="s">
        <v>31</v>
      </c>
      <c r="R282">
        <v>7</v>
      </c>
      <c r="S282" t="s">
        <v>28</v>
      </c>
      <c r="T282">
        <v>11.3</v>
      </c>
      <c r="U282" t="s">
        <v>39</v>
      </c>
      <c r="V282" t="s">
        <v>51</v>
      </c>
    </row>
    <row r="283" spans="1:22" x14ac:dyDescent="0.3">
      <c r="A283" t="s">
        <v>430</v>
      </c>
      <c r="B283">
        <v>2024</v>
      </c>
      <c r="C283" t="s">
        <v>104</v>
      </c>
      <c r="D283" t="s">
        <v>81</v>
      </c>
      <c r="E283" t="s">
        <v>25</v>
      </c>
      <c r="F283" t="s">
        <v>37</v>
      </c>
      <c r="G283" t="s">
        <v>38</v>
      </c>
      <c r="H283" t="s">
        <v>28</v>
      </c>
      <c r="I283" t="s">
        <v>40</v>
      </c>
      <c r="J283">
        <v>13</v>
      </c>
      <c r="K283">
        <v>0</v>
      </c>
      <c r="L283">
        <v>15.5</v>
      </c>
      <c r="M283" t="s">
        <v>50</v>
      </c>
      <c r="N283">
        <v>22</v>
      </c>
      <c r="O283">
        <v>351.57</v>
      </c>
      <c r="P283">
        <v>6</v>
      </c>
      <c r="Q283" t="s">
        <v>31</v>
      </c>
      <c r="R283">
        <v>7</v>
      </c>
      <c r="S283" t="s">
        <v>28</v>
      </c>
      <c r="T283">
        <v>6.8</v>
      </c>
      <c r="U283" t="s">
        <v>31</v>
      </c>
      <c r="V283" t="s">
        <v>32</v>
      </c>
    </row>
    <row r="284" spans="1:22" x14ac:dyDescent="0.3">
      <c r="A284" t="s">
        <v>431</v>
      </c>
      <c r="B284">
        <v>2025</v>
      </c>
      <c r="C284" t="s">
        <v>68</v>
      </c>
      <c r="D284" t="s">
        <v>59</v>
      </c>
      <c r="E284" t="s">
        <v>36</v>
      </c>
      <c r="F284" t="s">
        <v>87</v>
      </c>
      <c r="G284" t="s">
        <v>27</v>
      </c>
      <c r="H284" t="s">
        <v>31</v>
      </c>
      <c r="I284" t="s">
        <v>90</v>
      </c>
      <c r="J284">
        <v>19</v>
      </c>
      <c r="K284">
        <v>2.4</v>
      </c>
      <c r="L284">
        <v>9.4</v>
      </c>
      <c r="M284" t="s">
        <v>30</v>
      </c>
      <c r="N284">
        <v>34</v>
      </c>
      <c r="O284">
        <v>31.99</v>
      </c>
      <c r="P284">
        <v>6</v>
      </c>
      <c r="Q284" t="s">
        <v>31</v>
      </c>
      <c r="R284">
        <v>7</v>
      </c>
      <c r="S284" t="s">
        <v>31</v>
      </c>
      <c r="T284">
        <v>11.4</v>
      </c>
      <c r="U284" t="s">
        <v>28</v>
      </c>
      <c r="V284" t="s">
        <v>32</v>
      </c>
    </row>
    <row r="285" spans="1:22" x14ac:dyDescent="0.3">
      <c r="A285" t="s">
        <v>432</v>
      </c>
      <c r="B285">
        <v>2026</v>
      </c>
      <c r="C285" t="s">
        <v>84</v>
      </c>
      <c r="D285" t="s">
        <v>63</v>
      </c>
      <c r="E285" t="s">
        <v>82</v>
      </c>
      <c r="F285" t="s">
        <v>132</v>
      </c>
      <c r="G285" t="s">
        <v>38</v>
      </c>
      <c r="H285" t="s">
        <v>39</v>
      </c>
      <c r="I285" t="s">
        <v>65</v>
      </c>
      <c r="J285">
        <v>80</v>
      </c>
      <c r="K285">
        <v>26</v>
      </c>
      <c r="L285">
        <v>29</v>
      </c>
      <c r="M285" t="s">
        <v>144</v>
      </c>
      <c r="N285">
        <v>111</v>
      </c>
      <c r="O285">
        <v>47.57</v>
      </c>
      <c r="P285">
        <v>9</v>
      </c>
      <c r="Q285" t="s">
        <v>41</v>
      </c>
      <c r="R285">
        <v>6</v>
      </c>
      <c r="S285" t="s">
        <v>91</v>
      </c>
      <c r="T285">
        <v>5.6</v>
      </c>
      <c r="U285" t="s">
        <v>39</v>
      </c>
      <c r="V285" t="s">
        <v>72</v>
      </c>
    </row>
    <row r="286" spans="1:22" x14ac:dyDescent="0.3">
      <c r="A286" t="s">
        <v>433</v>
      </c>
      <c r="B286">
        <v>2025</v>
      </c>
      <c r="C286" t="s">
        <v>23</v>
      </c>
      <c r="D286" t="s">
        <v>43</v>
      </c>
      <c r="E286" t="s">
        <v>25</v>
      </c>
      <c r="F286" t="s">
        <v>37</v>
      </c>
      <c r="G286" t="s">
        <v>27</v>
      </c>
      <c r="H286" t="s">
        <v>39</v>
      </c>
      <c r="I286" t="s">
        <v>46</v>
      </c>
      <c r="J286">
        <v>109</v>
      </c>
      <c r="K286">
        <v>14.7</v>
      </c>
      <c r="L286">
        <v>0</v>
      </c>
      <c r="M286" t="s">
        <v>50</v>
      </c>
      <c r="N286">
        <v>11</v>
      </c>
      <c r="O286">
        <v>159.75</v>
      </c>
      <c r="P286">
        <v>8</v>
      </c>
      <c r="Q286" t="s">
        <v>31</v>
      </c>
      <c r="R286">
        <v>8</v>
      </c>
      <c r="S286" t="s">
        <v>91</v>
      </c>
      <c r="T286">
        <v>6.4</v>
      </c>
      <c r="U286" t="s">
        <v>31</v>
      </c>
      <c r="V286" t="s">
        <v>72</v>
      </c>
    </row>
    <row r="287" spans="1:22" x14ac:dyDescent="0.3">
      <c r="A287" t="s">
        <v>434</v>
      </c>
      <c r="B287">
        <v>2026</v>
      </c>
      <c r="C287" t="s">
        <v>196</v>
      </c>
      <c r="D287" t="s">
        <v>156</v>
      </c>
      <c r="E287" t="s">
        <v>82</v>
      </c>
      <c r="F287" t="s">
        <v>98</v>
      </c>
      <c r="G287" t="s">
        <v>27</v>
      </c>
      <c r="H287" t="s">
        <v>28</v>
      </c>
      <c r="I287" t="s">
        <v>71</v>
      </c>
      <c r="J287">
        <v>18</v>
      </c>
      <c r="K287">
        <v>10.3</v>
      </c>
      <c r="L287">
        <v>0</v>
      </c>
      <c r="M287" t="s">
        <v>47</v>
      </c>
      <c r="N287">
        <v>0</v>
      </c>
      <c r="O287">
        <v>108.57</v>
      </c>
      <c r="P287">
        <v>8</v>
      </c>
      <c r="Q287" t="s">
        <v>41</v>
      </c>
      <c r="R287">
        <v>2</v>
      </c>
      <c r="S287" t="s">
        <v>31</v>
      </c>
      <c r="T287">
        <v>9.5</v>
      </c>
      <c r="U287" t="s">
        <v>28</v>
      </c>
      <c r="V287" t="s">
        <v>32</v>
      </c>
    </row>
    <row r="288" spans="1:22" x14ac:dyDescent="0.3">
      <c r="A288" t="s">
        <v>435</v>
      </c>
      <c r="B288">
        <v>2026</v>
      </c>
      <c r="C288" t="s">
        <v>104</v>
      </c>
      <c r="D288" t="s">
        <v>102</v>
      </c>
      <c r="E288" t="s">
        <v>82</v>
      </c>
      <c r="F288" t="s">
        <v>70</v>
      </c>
      <c r="G288" t="s">
        <v>27</v>
      </c>
      <c r="H288" t="s">
        <v>28</v>
      </c>
      <c r="I288" t="s">
        <v>49</v>
      </c>
      <c r="J288">
        <v>40</v>
      </c>
      <c r="K288">
        <v>6.2</v>
      </c>
      <c r="L288">
        <v>28.8</v>
      </c>
      <c r="M288" t="s">
        <v>50</v>
      </c>
      <c r="N288">
        <v>53</v>
      </c>
      <c r="O288">
        <v>67.989999999999995</v>
      </c>
      <c r="P288">
        <v>7</v>
      </c>
      <c r="Q288" t="s">
        <v>28</v>
      </c>
      <c r="R288">
        <v>5</v>
      </c>
      <c r="S288" t="s">
        <v>28</v>
      </c>
      <c r="T288">
        <v>7.6</v>
      </c>
      <c r="U288" t="s">
        <v>41</v>
      </c>
      <c r="V288" t="s">
        <v>32</v>
      </c>
    </row>
    <row r="289" spans="1:22" x14ac:dyDescent="0.3">
      <c r="A289" t="s">
        <v>436</v>
      </c>
      <c r="B289">
        <v>2025</v>
      </c>
      <c r="C289" t="s">
        <v>74</v>
      </c>
      <c r="D289" t="s">
        <v>63</v>
      </c>
      <c r="E289" t="s">
        <v>82</v>
      </c>
      <c r="F289" t="s">
        <v>54</v>
      </c>
      <c r="G289" t="s">
        <v>45</v>
      </c>
      <c r="H289" t="s">
        <v>31</v>
      </c>
      <c r="I289" t="s">
        <v>90</v>
      </c>
      <c r="J289">
        <v>24</v>
      </c>
      <c r="K289">
        <v>4.0999999999999996</v>
      </c>
      <c r="L289">
        <v>12</v>
      </c>
      <c r="M289" t="s">
        <v>47</v>
      </c>
      <c r="N289">
        <v>10</v>
      </c>
      <c r="O289">
        <v>71.62</v>
      </c>
      <c r="P289">
        <v>5</v>
      </c>
      <c r="Q289" t="s">
        <v>28</v>
      </c>
      <c r="R289">
        <v>4</v>
      </c>
      <c r="S289" t="s">
        <v>41</v>
      </c>
      <c r="T289">
        <v>16.399999999999999</v>
      </c>
      <c r="U289" t="s">
        <v>39</v>
      </c>
      <c r="V289" t="s">
        <v>51</v>
      </c>
    </row>
    <row r="290" spans="1:22" x14ac:dyDescent="0.3">
      <c r="A290" t="s">
        <v>437</v>
      </c>
      <c r="B290">
        <v>2026</v>
      </c>
      <c r="C290" t="s">
        <v>23</v>
      </c>
      <c r="D290" t="s">
        <v>85</v>
      </c>
      <c r="E290" t="s">
        <v>82</v>
      </c>
      <c r="F290" t="s">
        <v>44</v>
      </c>
      <c r="G290" t="s">
        <v>38</v>
      </c>
      <c r="H290" t="s">
        <v>41</v>
      </c>
      <c r="I290" t="s">
        <v>71</v>
      </c>
      <c r="J290">
        <v>6</v>
      </c>
      <c r="K290">
        <v>1.7</v>
      </c>
      <c r="L290">
        <v>7.5</v>
      </c>
      <c r="M290" t="s">
        <v>47</v>
      </c>
      <c r="N290">
        <v>6</v>
      </c>
      <c r="O290">
        <v>18.91</v>
      </c>
      <c r="P290">
        <v>5</v>
      </c>
      <c r="Q290" t="s">
        <v>41</v>
      </c>
      <c r="R290">
        <v>4</v>
      </c>
      <c r="S290" t="s">
        <v>31</v>
      </c>
      <c r="T290">
        <v>9.1</v>
      </c>
      <c r="U290" t="s">
        <v>31</v>
      </c>
      <c r="V290" t="s">
        <v>51</v>
      </c>
    </row>
    <row r="291" spans="1:22" x14ac:dyDescent="0.3">
      <c r="A291" t="s">
        <v>438</v>
      </c>
      <c r="B291">
        <v>2024</v>
      </c>
      <c r="C291" t="s">
        <v>101</v>
      </c>
      <c r="D291" t="s">
        <v>69</v>
      </c>
      <c r="E291" t="s">
        <v>36</v>
      </c>
      <c r="F291" t="s">
        <v>26</v>
      </c>
      <c r="G291" t="s">
        <v>55</v>
      </c>
      <c r="H291" t="s">
        <v>41</v>
      </c>
      <c r="I291" t="s">
        <v>65</v>
      </c>
      <c r="J291">
        <v>6</v>
      </c>
      <c r="K291">
        <v>1.9</v>
      </c>
      <c r="L291">
        <v>-15.2</v>
      </c>
      <c r="M291" t="s">
        <v>47</v>
      </c>
      <c r="N291">
        <v>13</v>
      </c>
      <c r="O291">
        <v>14.15</v>
      </c>
      <c r="P291">
        <v>5</v>
      </c>
      <c r="Q291" t="s">
        <v>28</v>
      </c>
      <c r="R291">
        <v>4</v>
      </c>
      <c r="S291" t="s">
        <v>41</v>
      </c>
      <c r="T291">
        <v>10.5</v>
      </c>
      <c r="U291" t="s">
        <v>31</v>
      </c>
      <c r="V291" t="s">
        <v>125</v>
      </c>
    </row>
    <row r="292" spans="1:22" x14ac:dyDescent="0.3">
      <c r="A292" t="s">
        <v>439</v>
      </c>
      <c r="B292">
        <v>2024</v>
      </c>
      <c r="C292" t="s">
        <v>34</v>
      </c>
      <c r="D292" t="s">
        <v>156</v>
      </c>
      <c r="E292" t="s">
        <v>25</v>
      </c>
      <c r="F292" t="s">
        <v>70</v>
      </c>
      <c r="G292" t="s">
        <v>55</v>
      </c>
      <c r="H292" t="s">
        <v>31</v>
      </c>
      <c r="I292" t="s">
        <v>46</v>
      </c>
      <c r="J292">
        <v>31</v>
      </c>
      <c r="K292">
        <v>2.5</v>
      </c>
      <c r="L292">
        <v>-8.6999999999999993</v>
      </c>
      <c r="M292" t="s">
        <v>47</v>
      </c>
      <c r="N292">
        <v>4</v>
      </c>
      <c r="O292">
        <v>25.85</v>
      </c>
      <c r="P292">
        <v>0</v>
      </c>
      <c r="Q292" t="s">
        <v>31</v>
      </c>
      <c r="R292">
        <v>3</v>
      </c>
      <c r="S292" t="s">
        <v>41</v>
      </c>
      <c r="T292">
        <v>9.6</v>
      </c>
      <c r="U292" t="s">
        <v>41</v>
      </c>
      <c r="V292" t="s">
        <v>51</v>
      </c>
    </row>
    <row r="293" spans="1:22" x14ac:dyDescent="0.3">
      <c r="A293" t="s">
        <v>440</v>
      </c>
      <c r="B293">
        <v>2026</v>
      </c>
      <c r="C293" t="s">
        <v>53</v>
      </c>
      <c r="D293" t="s">
        <v>43</v>
      </c>
      <c r="E293" t="s">
        <v>86</v>
      </c>
      <c r="F293" t="s">
        <v>87</v>
      </c>
      <c r="G293" t="s">
        <v>55</v>
      </c>
      <c r="H293" t="s">
        <v>28</v>
      </c>
      <c r="I293" t="s">
        <v>46</v>
      </c>
      <c r="J293">
        <v>28</v>
      </c>
      <c r="K293">
        <v>6.7</v>
      </c>
      <c r="L293">
        <v>17.2</v>
      </c>
      <c r="M293" t="s">
        <v>144</v>
      </c>
      <c r="N293">
        <v>51</v>
      </c>
      <c r="O293">
        <v>0</v>
      </c>
      <c r="P293">
        <v>8</v>
      </c>
      <c r="Q293" t="s">
        <v>28</v>
      </c>
      <c r="R293">
        <v>7</v>
      </c>
      <c r="S293" t="s">
        <v>28</v>
      </c>
      <c r="T293">
        <v>3.4</v>
      </c>
      <c r="U293" t="s">
        <v>41</v>
      </c>
      <c r="V293" t="s">
        <v>72</v>
      </c>
    </row>
    <row r="294" spans="1:22" x14ac:dyDescent="0.3">
      <c r="A294" t="s">
        <v>441</v>
      </c>
      <c r="B294">
        <v>2026</v>
      </c>
      <c r="C294" t="s">
        <v>23</v>
      </c>
      <c r="D294" t="s">
        <v>43</v>
      </c>
      <c r="E294" t="s">
        <v>82</v>
      </c>
      <c r="F294" t="s">
        <v>64</v>
      </c>
      <c r="G294" t="s">
        <v>38</v>
      </c>
      <c r="H294" t="s">
        <v>39</v>
      </c>
      <c r="I294" t="s">
        <v>71</v>
      </c>
      <c r="J294">
        <v>89</v>
      </c>
      <c r="K294">
        <v>20.7</v>
      </c>
      <c r="L294">
        <v>36.700000000000003</v>
      </c>
      <c r="M294" t="s">
        <v>144</v>
      </c>
      <c r="N294">
        <v>0</v>
      </c>
      <c r="O294">
        <v>139.78</v>
      </c>
      <c r="P294">
        <v>6</v>
      </c>
      <c r="Q294" t="s">
        <v>41</v>
      </c>
      <c r="R294">
        <v>5</v>
      </c>
      <c r="S294" t="s">
        <v>28</v>
      </c>
      <c r="T294">
        <v>5.8</v>
      </c>
      <c r="U294" t="s">
        <v>39</v>
      </c>
      <c r="V294" t="s">
        <v>72</v>
      </c>
    </row>
    <row r="295" spans="1:22" x14ac:dyDescent="0.3">
      <c r="A295" t="s">
        <v>442</v>
      </c>
      <c r="B295">
        <v>2024</v>
      </c>
      <c r="C295" t="s">
        <v>23</v>
      </c>
      <c r="D295" t="s">
        <v>59</v>
      </c>
      <c r="E295" t="s">
        <v>36</v>
      </c>
      <c r="F295" t="s">
        <v>37</v>
      </c>
      <c r="G295" t="s">
        <v>27</v>
      </c>
      <c r="H295" t="s">
        <v>41</v>
      </c>
      <c r="I295" t="s">
        <v>40</v>
      </c>
      <c r="J295">
        <v>3</v>
      </c>
      <c r="K295">
        <v>0.6</v>
      </c>
      <c r="L295">
        <v>15.6</v>
      </c>
      <c r="M295" t="s">
        <v>30</v>
      </c>
      <c r="N295">
        <v>11</v>
      </c>
      <c r="O295">
        <v>24.25</v>
      </c>
      <c r="P295">
        <v>3</v>
      </c>
      <c r="Q295" t="s">
        <v>39</v>
      </c>
      <c r="R295">
        <v>4</v>
      </c>
      <c r="S295" t="s">
        <v>41</v>
      </c>
      <c r="T295">
        <v>9.9</v>
      </c>
      <c r="U295" t="s">
        <v>31</v>
      </c>
      <c r="V295" t="s">
        <v>125</v>
      </c>
    </row>
    <row r="296" spans="1:22" x14ac:dyDescent="0.3">
      <c r="A296" t="s">
        <v>443</v>
      </c>
      <c r="B296">
        <v>2024</v>
      </c>
      <c r="C296" t="s">
        <v>196</v>
      </c>
      <c r="D296" t="s">
        <v>89</v>
      </c>
      <c r="E296" t="s">
        <v>86</v>
      </c>
      <c r="F296" t="s">
        <v>120</v>
      </c>
      <c r="G296" t="s">
        <v>76</v>
      </c>
      <c r="H296" t="s">
        <v>41</v>
      </c>
      <c r="I296" t="s">
        <v>90</v>
      </c>
      <c r="J296">
        <v>6</v>
      </c>
      <c r="K296">
        <v>0.5</v>
      </c>
      <c r="L296">
        <v>13.3</v>
      </c>
      <c r="M296" t="s">
        <v>47</v>
      </c>
      <c r="N296">
        <v>3</v>
      </c>
      <c r="O296">
        <v>28.25</v>
      </c>
      <c r="P296">
        <v>3</v>
      </c>
      <c r="Q296" t="s">
        <v>28</v>
      </c>
      <c r="R296">
        <v>4</v>
      </c>
      <c r="S296" t="s">
        <v>41</v>
      </c>
      <c r="T296">
        <v>7.2</v>
      </c>
      <c r="U296" t="s">
        <v>31</v>
      </c>
      <c r="V296" t="s">
        <v>125</v>
      </c>
    </row>
    <row r="297" spans="1:22" x14ac:dyDescent="0.3">
      <c r="A297" t="s">
        <v>444</v>
      </c>
      <c r="B297">
        <v>2025</v>
      </c>
      <c r="C297" t="s">
        <v>134</v>
      </c>
      <c r="D297" t="s">
        <v>59</v>
      </c>
      <c r="E297" t="s">
        <v>82</v>
      </c>
      <c r="F297" t="s">
        <v>64</v>
      </c>
      <c r="G297" t="s">
        <v>55</v>
      </c>
      <c r="H297" t="s">
        <v>31</v>
      </c>
      <c r="I297" t="s">
        <v>65</v>
      </c>
      <c r="J297">
        <v>14</v>
      </c>
      <c r="K297">
        <v>0</v>
      </c>
      <c r="L297">
        <v>29.1</v>
      </c>
      <c r="M297" t="s">
        <v>50</v>
      </c>
      <c r="N297">
        <v>11</v>
      </c>
      <c r="O297">
        <v>32.590000000000003</v>
      </c>
      <c r="P297">
        <v>9</v>
      </c>
      <c r="Q297" t="s">
        <v>28</v>
      </c>
      <c r="R297">
        <v>8</v>
      </c>
      <c r="S297" t="s">
        <v>28</v>
      </c>
      <c r="T297">
        <v>11.6</v>
      </c>
      <c r="U297" t="s">
        <v>31</v>
      </c>
      <c r="V297" t="s">
        <v>32</v>
      </c>
    </row>
    <row r="298" spans="1:22" hidden="1" x14ac:dyDescent="0.3">
      <c r="A298" t="s">
        <v>445</v>
      </c>
      <c r="B298">
        <v>2026</v>
      </c>
      <c r="C298" t="s">
        <v>104</v>
      </c>
      <c r="D298" t="s">
        <v>43</v>
      </c>
      <c r="E298" t="s">
        <v>36</v>
      </c>
      <c r="F298" t="s">
        <v>64</v>
      </c>
      <c r="G298" t="s">
        <v>76</v>
      </c>
      <c r="H298" t="s">
        <v>31</v>
      </c>
      <c r="I298" t="s">
        <v>65</v>
      </c>
      <c r="J298">
        <v>25</v>
      </c>
      <c r="K298">
        <v>5.2</v>
      </c>
      <c r="L298">
        <v>4.2</v>
      </c>
      <c r="M298" t="s">
        <v>50</v>
      </c>
      <c r="N298">
        <v>12</v>
      </c>
      <c r="O298">
        <v>37.99</v>
      </c>
      <c r="P298">
        <v>7</v>
      </c>
      <c r="Q298" t="s">
        <v>28</v>
      </c>
      <c r="R298">
        <v>7</v>
      </c>
      <c r="S298" t="s">
        <v>28</v>
      </c>
      <c r="U298" t="s">
        <v>31</v>
      </c>
      <c r="V298" t="s">
        <v>32</v>
      </c>
    </row>
    <row r="299" spans="1:22" x14ac:dyDescent="0.3">
      <c r="A299" t="s">
        <v>446</v>
      </c>
      <c r="B299">
        <v>2025</v>
      </c>
      <c r="C299" t="s">
        <v>74</v>
      </c>
      <c r="D299" t="s">
        <v>81</v>
      </c>
      <c r="E299" t="s">
        <v>82</v>
      </c>
      <c r="F299" t="s">
        <v>105</v>
      </c>
      <c r="G299" t="s">
        <v>27</v>
      </c>
      <c r="H299" t="s">
        <v>28</v>
      </c>
      <c r="I299" t="s">
        <v>49</v>
      </c>
      <c r="J299">
        <v>42</v>
      </c>
      <c r="K299">
        <v>9.8000000000000007</v>
      </c>
      <c r="L299">
        <v>1.8</v>
      </c>
      <c r="M299" t="s">
        <v>50</v>
      </c>
      <c r="N299">
        <v>9</v>
      </c>
      <c r="O299">
        <v>57.83</v>
      </c>
      <c r="P299">
        <v>4</v>
      </c>
      <c r="Q299" t="s">
        <v>39</v>
      </c>
      <c r="R299">
        <v>6</v>
      </c>
      <c r="S299" t="s">
        <v>28</v>
      </c>
      <c r="T299">
        <v>14.7</v>
      </c>
      <c r="U299" t="s">
        <v>31</v>
      </c>
      <c r="V299" t="s">
        <v>32</v>
      </c>
    </row>
    <row r="300" spans="1:22" x14ac:dyDescent="0.3">
      <c r="A300" t="s">
        <v>447</v>
      </c>
      <c r="B300">
        <v>2026</v>
      </c>
      <c r="C300" t="s">
        <v>80</v>
      </c>
      <c r="D300" t="s">
        <v>59</v>
      </c>
      <c r="E300" t="s">
        <v>36</v>
      </c>
      <c r="F300" t="s">
        <v>105</v>
      </c>
      <c r="G300" t="s">
        <v>27</v>
      </c>
      <c r="H300" t="s">
        <v>39</v>
      </c>
      <c r="I300" t="s">
        <v>49</v>
      </c>
      <c r="J300">
        <v>65</v>
      </c>
      <c r="K300">
        <v>14.1</v>
      </c>
      <c r="L300">
        <v>19.8</v>
      </c>
      <c r="M300" t="s">
        <v>30</v>
      </c>
      <c r="N300">
        <v>18</v>
      </c>
      <c r="O300">
        <v>43.38</v>
      </c>
      <c r="P300">
        <v>7</v>
      </c>
      <c r="Q300" t="s">
        <v>31</v>
      </c>
      <c r="R300">
        <v>5</v>
      </c>
      <c r="S300" t="s">
        <v>31</v>
      </c>
      <c r="T300">
        <v>12.2</v>
      </c>
      <c r="U300" t="s">
        <v>39</v>
      </c>
      <c r="V300" t="s">
        <v>32</v>
      </c>
    </row>
    <row r="301" spans="1:22" x14ac:dyDescent="0.3">
      <c r="A301" t="s">
        <v>448</v>
      </c>
      <c r="B301">
        <v>2026</v>
      </c>
      <c r="C301" t="s">
        <v>53</v>
      </c>
      <c r="D301" t="s">
        <v>156</v>
      </c>
      <c r="E301" t="s">
        <v>25</v>
      </c>
      <c r="F301" t="s">
        <v>70</v>
      </c>
      <c r="G301" t="s">
        <v>38</v>
      </c>
      <c r="H301" t="s">
        <v>28</v>
      </c>
      <c r="I301" t="s">
        <v>71</v>
      </c>
      <c r="J301">
        <v>76</v>
      </c>
      <c r="K301">
        <v>26</v>
      </c>
      <c r="L301">
        <v>32.299999999999997</v>
      </c>
      <c r="M301" t="s">
        <v>144</v>
      </c>
      <c r="N301">
        <v>96</v>
      </c>
      <c r="O301">
        <v>216.79</v>
      </c>
      <c r="P301">
        <v>9</v>
      </c>
      <c r="Q301" t="s">
        <v>31</v>
      </c>
      <c r="R301">
        <v>8</v>
      </c>
      <c r="S301" t="s">
        <v>91</v>
      </c>
      <c r="T301">
        <v>7.7</v>
      </c>
      <c r="U301" t="s">
        <v>31</v>
      </c>
      <c r="V301" t="s">
        <v>72</v>
      </c>
    </row>
    <row r="302" spans="1:22" x14ac:dyDescent="0.3">
      <c r="A302" t="s">
        <v>449</v>
      </c>
      <c r="B302">
        <v>2025</v>
      </c>
      <c r="C302" t="s">
        <v>94</v>
      </c>
      <c r="D302" t="s">
        <v>81</v>
      </c>
      <c r="E302" t="s">
        <v>86</v>
      </c>
      <c r="F302" t="s">
        <v>132</v>
      </c>
      <c r="G302" t="s">
        <v>55</v>
      </c>
      <c r="H302" t="s">
        <v>31</v>
      </c>
      <c r="I302" t="s">
        <v>40</v>
      </c>
      <c r="J302">
        <v>14</v>
      </c>
      <c r="K302">
        <v>2.2000000000000002</v>
      </c>
      <c r="L302">
        <v>7.1</v>
      </c>
      <c r="M302" t="s">
        <v>47</v>
      </c>
      <c r="N302">
        <v>2</v>
      </c>
      <c r="O302">
        <v>104.29</v>
      </c>
      <c r="P302">
        <v>5</v>
      </c>
      <c r="Q302" t="s">
        <v>31</v>
      </c>
      <c r="R302">
        <v>5</v>
      </c>
      <c r="S302" t="s">
        <v>31</v>
      </c>
      <c r="T302">
        <v>6.2</v>
      </c>
      <c r="U302" t="s">
        <v>41</v>
      </c>
      <c r="V302" t="s">
        <v>32</v>
      </c>
    </row>
    <row r="303" spans="1:22" x14ac:dyDescent="0.3">
      <c r="A303" t="s">
        <v>450</v>
      </c>
      <c r="B303">
        <v>2026</v>
      </c>
      <c r="C303" t="s">
        <v>217</v>
      </c>
      <c r="D303" t="s">
        <v>24</v>
      </c>
      <c r="E303" t="s">
        <v>86</v>
      </c>
      <c r="F303" t="s">
        <v>132</v>
      </c>
      <c r="G303" t="s">
        <v>27</v>
      </c>
      <c r="H303" t="s">
        <v>39</v>
      </c>
      <c r="I303" t="s">
        <v>65</v>
      </c>
      <c r="J303">
        <v>22</v>
      </c>
      <c r="K303">
        <v>4.4000000000000004</v>
      </c>
      <c r="L303">
        <v>9.8000000000000007</v>
      </c>
      <c r="M303" t="s">
        <v>30</v>
      </c>
      <c r="N303">
        <v>0</v>
      </c>
      <c r="O303">
        <v>43.9</v>
      </c>
      <c r="P303">
        <v>8</v>
      </c>
      <c r="Q303" t="s">
        <v>39</v>
      </c>
      <c r="R303">
        <v>6</v>
      </c>
      <c r="S303" t="s">
        <v>91</v>
      </c>
      <c r="T303">
        <v>7.6</v>
      </c>
      <c r="U303" t="s">
        <v>28</v>
      </c>
      <c r="V303" t="s">
        <v>51</v>
      </c>
    </row>
    <row r="304" spans="1:22" x14ac:dyDescent="0.3">
      <c r="A304" t="s">
        <v>451</v>
      </c>
      <c r="B304">
        <v>2026</v>
      </c>
      <c r="C304" t="s">
        <v>104</v>
      </c>
      <c r="D304" t="s">
        <v>63</v>
      </c>
      <c r="E304" t="s">
        <v>86</v>
      </c>
      <c r="F304" t="s">
        <v>64</v>
      </c>
      <c r="G304" t="s">
        <v>27</v>
      </c>
      <c r="H304" t="s">
        <v>39</v>
      </c>
      <c r="I304" t="s">
        <v>71</v>
      </c>
      <c r="J304">
        <v>64</v>
      </c>
      <c r="K304">
        <v>0</v>
      </c>
      <c r="L304">
        <v>30.4</v>
      </c>
      <c r="M304" t="s">
        <v>30</v>
      </c>
      <c r="N304">
        <v>0</v>
      </c>
      <c r="O304">
        <v>157.33000000000001</v>
      </c>
      <c r="P304">
        <v>7</v>
      </c>
      <c r="Q304" t="s">
        <v>41</v>
      </c>
      <c r="R304">
        <v>6</v>
      </c>
      <c r="S304" t="s">
        <v>31</v>
      </c>
      <c r="T304">
        <v>7.4</v>
      </c>
      <c r="U304" t="s">
        <v>28</v>
      </c>
      <c r="V304" t="s">
        <v>32</v>
      </c>
    </row>
    <row r="305" spans="1:22" x14ac:dyDescent="0.3">
      <c r="A305" t="s">
        <v>452</v>
      </c>
      <c r="B305">
        <v>2025</v>
      </c>
      <c r="C305" t="s">
        <v>68</v>
      </c>
      <c r="D305" t="s">
        <v>59</v>
      </c>
      <c r="E305" t="s">
        <v>25</v>
      </c>
      <c r="F305" t="s">
        <v>26</v>
      </c>
      <c r="G305" t="s">
        <v>38</v>
      </c>
      <c r="H305" t="s">
        <v>31</v>
      </c>
      <c r="I305" t="s">
        <v>61</v>
      </c>
      <c r="J305">
        <v>30</v>
      </c>
      <c r="K305">
        <v>3.4</v>
      </c>
      <c r="L305">
        <v>0</v>
      </c>
      <c r="M305" t="s">
        <v>30</v>
      </c>
      <c r="N305">
        <v>14</v>
      </c>
      <c r="O305">
        <v>34.65</v>
      </c>
      <c r="P305">
        <v>8</v>
      </c>
      <c r="Q305" t="s">
        <v>28</v>
      </c>
      <c r="R305">
        <v>4</v>
      </c>
      <c r="S305" t="s">
        <v>41</v>
      </c>
      <c r="T305">
        <v>7.2</v>
      </c>
      <c r="U305" t="s">
        <v>31</v>
      </c>
      <c r="V305" t="s">
        <v>51</v>
      </c>
    </row>
    <row r="306" spans="1:22" hidden="1" x14ac:dyDescent="0.3">
      <c r="A306" t="s">
        <v>453</v>
      </c>
      <c r="B306">
        <v>2025</v>
      </c>
      <c r="C306" t="s">
        <v>74</v>
      </c>
      <c r="D306" t="s">
        <v>102</v>
      </c>
      <c r="E306" t="s">
        <v>25</v>
      </c>
      <c r="F306" t="s">
        <v>54</v>
      </c>
      <c r="G306" t="s">
        <v>55</v>
      </c>
      <c r="H306" t="s">
        <v>28</v>
      </c>
      <c r="I306" t="s">
        <v>56</v>
      </c>
      <c r="J306">
        <v>18</v>
      </c>
      <c r="K306">
        <v>4.8</v>
      </c>
      <c r="L306">
        <v>3.7</v>
      </c>
      <c r="M306" t="s">
        <v>30</v>
      </c>
      <c r="N306">
        <v>13</v>
      </c>
      <c r="O306">
        <v>109.31</v>
      </c>
      <c r="P306">
        <v>8</v>
      </c>
      <c r="Q306" t="s">
        <v>31</v>
      </c>
      <c r="R306">
        <v>6</v>
      </c>
      <c r="S306" t="s">
        <v>28</v>
      </c>
      <c r="U306" t="s">
        <v>31</v>
      </c>
      <c r="V306" t="s">
        <v>32</v>
      </c>
    </row>
    <row r="307" spans="1:22" x14ac:dyDescent="0.3">
      <c r="A307" t="s">
        <v>454</v>
      </c>
      <c r="B307">
        <v>2025</v>
      </c>
      <c r="C307" t="s">
        <v>34</v>
      </c>
      <c r="D307" t="s">
        <v>81</v>
      </c>
      <c r="E307" t="s">
        <v>25</v>
      </c>
      <c r="F307" t="s">
        <v>64</v>
      </c>
      <c r="G307" t="s">
        <v>38</v>
      </c>
      <c r="H307" t="s">
        <v>39</v>
      </c>
      <c r="I307" t="s">
        <v>46</v>
      </c>
      <c r="J307">
        <v>55</v>
      </c>
      <c r="K307">
        <v>7.3</v>
      </c>
      <c r="L307">
        <v>15.9</v>
      </c>
      <c r="M307" t="s">
        <v>30</v>
      </c>
      <c r="N307">
        <v>0</v>
      </c>
      <c r="O307">
        <v>126.92</v>
      </c>
      <c r="P307">
        <v>9</v>
      </c>
      <c r="Q307" t="s">
        <v>31</v>
      </c>
      <c r="R307">
        <v>7</v>
      </c>
      <c r="S307" t="s">
        <v>31</v>
      </c>
      <c r="T307">
        <v>6</v>
      </c>
      <c r="U307" t="s">
        <v>31</v>
      </c>
      <c r="V307" t="s">
        <v>32</v>
      </c>
    </row>
    <row r="308" spans="1:22" x14ac:dyDescent="0.3">
      <c r="A308" t="s">
        <v>455</v>
      </c>
      <c r="B308">
        <v>2024</v>
      </c>
      <c r="C308" t="s">
        <v>101</v>
      </c>
      <c r="D308" t="s">
        <v>156</v>
      </c>
      <c r="E308" t="s">
        <v>82</v>
      </c>
      <c r="F308" t="s">
        <v>60</v>
      </c>
      <c r="G308" t="s">
        <v>38</v>
      </c>
      <c r="H308" t="s">
        <v>31</v>
      </c>
      <c r="I308" t="s">
        <v>90</v>
      </c>
      <c r="J308">
        <v>16</v>
      </c>
      <c r="K308">
        <v>1.1000000000000001</v>
      </c>
      <c r="L308">
        <v>-13.5</v>
      </c>
      <c r="M308" t="s">
        <v>30</v>
      </c>
      <c r="N308">
        <v>19</v>
      </c>
      <c r="O308">
        <v>47.18</v>
      </c>
      <c r="P308">
        <v>6</v>
      </c>
      <c r="Q308" t="s">
        <v>31</v>
      </c>
      <c r="R308">
        <v>3</v>
      </c>
      <c r="S308" t="s">
        <v>41</v>
      </c>
      <c r="T308">
        <v>10.4</v>
      </c>
      <c r="U308" t="s">
        <v>41</v>
      </c>
      <c r="V308" t="s">
        <v>51</v>
      </c>
    </row>
    <row r="309" spans="1:22" hidden="1" x14ac:dyDescent="0.3">
      <c r="A309" t="s">
        <v>456</v>
      </c>
      <c r="B309">
        <v>2025</v>
      </c>
      <c r="C309" t="s">
        <v>217</v>
      </c>
      <c r="D309" t="s">
        <v>85</v>
      </c>
      <c r="E309" t="s">
        <v>190</v>
      </c>
      <c r="F309" t="s">
        <v>60</v>
      </c>
      <c r="G309" t="s">
        <v>457</v>
      </c>
      <c r="H309" t="s">
        <v>114</v>
      </c>
      <c r="I309" t="s">
        <v>115</v>
      </c>
      <c r="J309">
        <v>0</v>
      </c>
      <c r="K309">
        <v>0</v>
      </c>
      <c r="L309">
        <v>-3.8</v>
      </c>
      <c r="M309" t="s">
        <v>30</v>
      </c>
      <c r="N309">
        <v>5</v>
      </c>
      <c r="O309">
        <v>0</v>
      </c>
      <c r="P309">
        <v>7</v>
      </c>
      <c r="Q309" t="s">
        <v>28</v>
      </c>
      <c r="R309">
        <v>4</v>
      </c>
      <c r="S309" t="s">
        <v>41</v>
      </c>
      <c r="U309" t="s">
        <v>31</v>
      </c>
      <c r="V309" t="s">
        <v>51</v>
      </c>
    </row>
    <row r="310" spans="1:22" x14ac:dyDescent="0.3">
      <c r="A310" t="s">
        <v>458</v>
      </c>
      <c r="B310">
        <v>2024</v>
      </c>
      <c r="C310" t="s">
        <v>94</v>
      </c>
      <c r="D310" t="s">
        <v>43</v>
      </c>
      <c r="E310" t="s">
        <v>36</v>
      </c>
      <c r="F310" t="s">
        <v>64</v>
      </c>
      <c r="G310" t="s">
        <v>45</v>
      </c>
      <c r="H310" t="s">
        <v>31</v>
      </c>
      <c r="I310" t="s">
        <v>65</v>
      </c>
      <c r="J310">
        <v>19</v>
      </c>
      <c r="K310">
        <v>7.1</v>
      </c>
      <c r="L310">
        <v>0.1</v>
      </c>
      <c r="M310" t="s">
        <v>47</v>
      </c>
      <c r="N310">
        <v>0</v>
      </c>
      <c r="O310">
        <v>38.47</v>
      </c>
      <c r="P310">
        <v>5</v>
      </c>
      <c r="Q310" t="s">
        <v>39</v>
      </c>
      <c r="R310">
        <v>4</v>
      </c>
      <c r="S310" t="s">
        <v>41</v>
      </c>
      <c r="T310">
        <v>16.3</v>
      </c>
      <c r="U310" t="s">
        <v>39</v>
      </c>
      <c r="V310" t="s">
        <v>125</v>
      </c>
    </row>
    <row r="311" spans="1:22" x14ac:dyDescent="0.3">
      <c r="A311" t="s">
        <v>459</v>
      </c>
      <c r="B311">
        <v>2024</v>
      </c>
      <c r="C311" t="s">
        <v>74</v>
      </c>
      <c r="D311" t="s">
        <v>43</v>
      </c>
      <c r="E311" t="s">
        <v>86</v>
      </c>
      <c r="F311" t="s">
        <v>75</v>
      </c>
      <c r="G311" t="s">
        <v>38</v>
      </c>
      <c r="H311" t="s">
        <v>41</v>
      </c>
      <c r="I311" t="s">
        <v>49</v>
      </c>
      <c r="J311">
        <v>6</v>
      </c>
      <c r="K311">
        <v>1.6</v>
      </c>
      <c r="L311">
        <v>3.9</v>
      </c>
      <c r="M311" t="s">
        <v>47</v>
      </c>
      <c r="N311">
        <v>1</v>
      </c>
      <c r="O311">
        <v>15.56</v>
      </c>
      <c r="P311">
        <v>7</v>
      </c>
      <c r="Q311" t="s">
        <v>28</v>
      </c>
      <c r="R311">
        <v>5</v>
      </c>
      <c r="S311" t="s">
        <v>31</v>
      </c>
      <c r="T311">
        <v>5.3</v>
      </c>
      <c r="U311" t="s">
        <v>31</v>
      </c>
      <c r="V311" t="s">
        <v>32</v>
      </c>
    </row>
    <row r="312" spans="1:22" x14ac:dyDescent="0.3">
      <c r="A312" t="s">
        <v>460</v>
      </c>
      <c r="B312">
        <v>2025</v>
      </c>
      <c r="C312" t="s">
        <v>68</v>
      </c>
      <c r="D312" t="s">
        <v>81</v>
      </c>
      <c r="E312" t="s">
        <v>25</v>
      </c>
      <c r="F312" t="s">
        <v>37</v>
      </c>
      <c r="G312" t="s">
        <v>55</v>
      </c>
      <c r="H312" t="s">
        <v>28</v>
      </c>
      <c r="I312" t="s">
        <v>46</v>
      </c>
      <c r="J312">
        <v>68</v>
      </c>
      <c r="K312">
        <v>8</v>
      </c>
      <c r="L312">
        <v>19</v>
      </c>
      <c r="M312" t="s">
        <v>144</v>
      </c>
      <c r="N312">
        <v>29</v>
      </c>
      <c r="O312">
        <v>100</v>
      </c>
      <c r="P312">
        <v>10</v>
      </c>
      <c r="Q312" t="s">
        <v>39</v>
      </c>
      <c r="R312">
        <v>7</v>
      </c>
      <c r="S312" t="s">
        <v>91</v>
      </c>
      <c r="T312">
        <v>5.6</v>
      </c>
      <c r="U312" t="s">
        <v>41</v>
      </c>
      <c r="V312" t="s">
        <v>280</v>
      </c>
    </row>
    <row r="313" spans="1:22" x14ac:dyDescent="0.3">
      <c r="A313" t="s">
        <v>461</v>
      </c>
      <c r="B313">
        <v>2026</v>
      </c>
      <c r="C313" t="s">
        <v>74</v>
      </c>
      <c r="D313" t="s">
        <v>89</v>
      </c>
      <c r="E313" t="s">
        <v>86</v>
      </c>
      <c r="F313" t="s">
        <v>70</v>
      </c>
      <c r="G313" t="s">
        <v>38</v>
      </c>
      <c r="H313" t="s">
        <v>28</v>
      </c>
      <c r="I313" t="s">
        <v>71</v>
      </c>
      <c r="J313">
        <v>26</v>
      </c>
      <c r="K313">
        <v>6.8</v>
      </c>
      <c r="L313">
        <v>0.8</v>
      </c>
      <c r="M313" t="s">
        <v>47</v>
      </c>
      <c r="N313">
        <v>0</v>
      </c>
      <c r="O313">
        <v>0</v>
      </c>
      <c r="P313">
        <v>4</v>
      </c>
      <c r="Q313" t="s">
        <v>28</v>
      </c>
      <c r="R313">
        <v>5</v>
      </c>
      <c r="S313" t="s">
        <v>41</v>
      </c>
      <c r="T313">
        <v>15.3</v>
      </c>
      <c r="U313" t="s">
        <v>28</v>
      </c>
      <c r="V313" t="s">
        <v>51</v>
      </c>
    </row>
    <row r="314" spans="1:22" x14ac:dyDescent="0.3">
      <c r="A314" t="s">
        <v>462</v>
      </c>
      <c r="B314">
        <v>2024</v>
      </c>
      <c r="C314" t="s">
        <v>94</v>
      </c>
      <c r="D314" t="s">
        <v>69</v>
      </c>
      <c r="E314" t="s">
        <v>36</v>
      </c>
      <c r="F314" t="s">
        <v>75</v>
      </c>
      <c r="G314" t="s">
        <v>55</v>
      </c>
      <c r="H314" t="s">
        <v>41</v>
      </c>
      <c r="I314" t="s">
        <v>49</v>
      </c>
      <c r="J314">
        <v>3</v>
      </c>
      <c r="K314">
        <v>1.8</v>
      </c>
      <c r="L314">
        <v>6.1</v>
      </c>
      <c r="M314" t="s">
        <v>47</v>
      </c>
      <c r="N314">
        <v>6</v>
      </c>
      <c r="O314">
        <v>11.53</v>
      </c>
      <c r="P314">
        <v>5</v>
      </c>
      <c r="Q314" t="s">
        <v>28</v>
      </c>
      <c r="R314">
        <v>4</v>
      </c>
      <c r="S314" t="s">
        <v>41</v>
      </c>
      <c r="T314">
        <v>10.7</v>
      </c>
      <c r="U314" t="s">
        <v>31</v>
      </c>
      <c r="V314" t="s">
        <v>51</v>
      </c>
    </row>
    <row r="315" spans="1:22" x14ac:dyDescent="0.3">
      <c r="A315" t="s">
        <v>463</v>
      </c>
      <c r="B315">
        <v>2026</v>
      </c>
      <c r="C315" t="s">
        <v>84</v>
      </c>
      <c r="D315" t="s">
        <v>69</v>
      </c>
      <c r="E315" t="s">
        <v>86</v>
      </c>
      <c r="F315" t="s">
        <v>105</v>
      </c>
      <c r="G315" t="s">
        <v>27</v>
      </c>
      <c r="H315" t="s">
        <v>39</v>
      </c>
      <c r="I315" t="s">
        <v>49</v>
      </c>
      <c r="J315">
        <v>26</v>
      </c>
      <c r="K315">
        <v>4.9000000000000004</v>
      </c>
      <c r="L315">
        <v>9.3000000000000007</v>
      </c>
      <c r="M315" t="s">
        <v>144</v>
      </c>
      <c r="N315">
        <v>55</v>
      </c>
      <c r="O315">
        <v>28.06</v>
      </c>
      <c r="P315">
        <v>6</v>
      </c>
      <c r="Q315" t="s">
        <v>31</v>
      </c>
      <c r="R315">
        <v>7</v>
      </c>
      <c r="S315" t="s">
        <v>91</v>
      </c>
      <c r="T315">
        <v>5.3</v>
      </c>
      <c r="U315" t="s">
        <v>28</v>
      </c>
      <c r="V315" t="s">
        <v>72</v>
      </c>
    </row>
    <row r="316" spans="1:22" x14ac:dyDescent="0.3">
      <c r="A316" t="s">
        <v>464</v>
      </c>
      <c r="B316">
        <v>2025</v>
      </c>
      <c r="C316" t="s">
        <v>196</v>
      </c>
      <c r="D316" t="s">
        <v>69</v>
      </c>
      <c r="E316" t="s">
        <v>36</v>
      </c>
      <c r="F316" t="s">
        <v>70</v>
      </c>
      <c r="G316" t="s">
        <v>38</v>
      </c>
      <c r="H316" t="s">
        <v>41</v>
      </c>
      <c r="I316" t="s">
        <v>46</v>
      </c>
      <c r="J316">
        <v>14</v>
      </c>
      <c r="K316">
        <v>2.5</v>
      </c>
      <c r="L316">
        <v>7.1</v>
      </c>
      <c r="M316" t="s">
        <v>47</v>
      </c>
      <c r="N316">
        <v>10</v>
      </c>
      <c r="O316">
        <v>13.52</v>
      </c>
      <c r="P316">
        <v>5</v>
      </c>
      <c r="Q316" t="s">
        <v>39</v>
      </c>
      <c r="R316">
        <v>4</v>
      </c>
      <c r="S316" t="s">
        <v>41</v>
      </c>
      <c r="T316">
        <v>7.6</v>
      </c>
      <c r="U316" t="s">
        <v>41</v>
      </c>
      <c r="V316" t="s">
        <v>32</v>
      </c>
    </row>
    <row r="317" spans="1:22" x14ac:dyDescent="0.3">
      <c r="A317" t="s">
        <v>465</v>
      </c>
      <c r="B317">
        <v>2024</v>
      </c>
      <c r="C317" t="s">
        <v>34</v>
      </c>
      <c r="D317" t="s">
        <v>43</v>
      </c>
      <c r="E317" t="s">
        <v>82</v>
      </c>
      <c r="F317" t="s">
        <v>120</v>
      </c>
      <c r="G317" t="s">
        <v>27</v>
      </c>
      <c r="H317" t="s">
        <v>31</v>
      </c>
      <c r="I317" t="s">
        <v>56</v>
      </c>
      <c r="J317">
        <v>13</v>
      </c>
      <c r="K317">
        <v>1.2</v>
      </c>
      <c r="L317">
        <v>1.1000000000000001</v>
      </c>
      <c r="M317" t="s">
        <v>30</v>
      </c>
      <c r="N317">
        <v>32</v>
      </c>
      <c r="O317">
        <v>19.52</v>
      </c>
      <c r="P317">
        <v>6</v>
      </c>
      <c r="Q317" t="s">
        <v>31</v>
      </c>
      <c r="R317">
        <v>6</v>
      </c>
      <c r="S317" t="s">
        <v>41</v>
      </c>
      <c r="T317">
        <v>4.9000000000000004</v>
      </c>
      <c r="U317" t="s">
        <v>31</v>
      </c>
      <c r="V317" t="s">
        <v>32</v>
      </c>
    </row>
    <row r="318" spans="1:22" x14ac:dyDescent="0.3">
      <c r="A318" t="s">
        <v>466</v>
      </c>
      <c r="B318">
        <v>2024</v>
      </c>
      <c r="C318" t="s">
        <v>104</v>
      </c>
      <c r="D318" t="s">
        <v>156</v>
      </c>
      <c r="E318" t="s">
        <v>25</v>
      </c>
      <c r="F318" t="s">
        <v>75</v>
      </c>
      <c r="G318" t="s">
        <v>95</v>
      </c>
      <c r="H318" t="s">
        <v>41</v>
      </c>
      <c r="I318" t="s">
        <v>49</v>
      </c>
      <c r="J318">
        <v>14</v>
      </c>
      <c r="K318">
        <v>2.7</v>
      </c>
      <c r="L318">
        <v>-2.7</v>
      </c>
      <c r="M318" t="s">
        <v>47</v>
      </c>
      <c r="N318">
        <v>0</v>
      </c>
      <c r="O318">
        <v>38.07</v>
      </c>
      <c r="P318">
        <v>6</v>
      </c>
      <c r="Q318" t="s">
        <v>41</v>
      </c>
      <c r="R318">
        <v>2</v>
      </c>
      <c r="S318" t="s">
        <v>41</v>
      </c>
      <c r="T318">
        <v>11.8</v>
      </c>
      <c r="U318" t="s">
        <v>31</v>
      </c>
      <c r="V318" t="s">
        <v>51</v>
      </c>
    </row>
    <row r="319" spans="1:22" x14ac:dyDescent="0.3">
      <c r="A319" t="s">
        <v>467</v>
      </c>
      <c r="B319">
        <v>2024</v>
      </c>
      <c r="C319" t="s">
        <v>217</v>
      </c>
      <c r="D319" t="s">
        <v>156</v>
      </c>
      <c r="E319" t="s">
        <v>36</v>
      </c>
      <c r="F319" t="s">
        <v>468</v>
      </c>
      <c r="G319" t="s">
        <v>55</v>
      </c>
      <c r="H319" t="s">
        <v>41</v>
      </c>
      <c r="I319" t="s">
        <v>90</v>
      </c>
      <c r="J319">
        <v>4</v>
      </c>
      <c r="K319">
        <v>0.9</v>
      </c>
      <c r="L319">
        <v>-10.4</v>
      </c>
      <c r="M319" t="s">
        <v>47</v>
      </c>
      <c r="N319">
        <v>9</v>
      </c>
      <c r="O319">
        <v>26.97</v>
      </c>
      <c r="P319">
        <v>4</v>
      </c>
      <c r="Q319" t="s">
        <v>39</v>
      </c>
      <c r="R319">
        <v>3</v>
      </c>
      <c r="S319" t="s">
        <v>31</v>
      </c>
      <c r="T319">
        <v>9.1</v>
      </c>
      <c r="U319" t="s">
        <v>31</v>
      </c>
      <c r="V319" t="s">
        <v>125</v>
      </c>
    </row>
    <row r="320" spans="1:22" x14ac:dyDescent="0.3">
      <c r="A320" t="s">
        <v>469</v>
      </c>
      <c r="B320">
        <v>2025</v>
      </c>
      <c r="C320" t="s">
        <v>217</v>
      </c>
      <c r="D320" t="s">
        <v>59</v>
      </c>
      <c r="E320" t="s">
        <v>36</v>
      </c>
      <c r="F320" t="s">
        <v>60</v>
      </c>
      <c r="G320" t="s">
        <v>76</v>
      </c>
      <c r="H320" t="s">
        <v>41</v>
      </c>
      <c r="I320" t="s">
        <v>61</v>
      </c>
      <c r="J320">
        <v>5</v>
      </c>
      <c r="K320">
        <v>1.1000000000000001</v>
      </c>
      <c r="L320">
        <v>-5.6</v>
      </c>
      <c r="M320" t="s">
        <v>47</v>
      </c>
      <c r="N320">
        <v>9</v>
      </c>
      <c r="O320">
        <v>26.26</v>
      </c>
      <c r="P320">
        <v>4</v>
      </c>
      <c r="Q320" t="s">
        <v>28</v>
      </c>
      <c r="R320">
        <v>4</v>
      </c>
      <c r="S320" t="s">
        <v>31</v>
      </c>
      <c r="T320">
        <v>11.2</v>
      </c>
      <c r="U320" t="s">
        <v>28</v>
      </c>
      <c r="V320" t="s">
        <v>51</v>
      </c>
    </row>
    <row r="321" spans="1:22" x14ac:dyDescent="0.3">
      <c r="A321" t="s">
        <v>470</v>
      </c>
      <c r="B321">
        <v>2025</v>
      </c>
      <c r="C321" t="s">
        <v>74</v>
      </c>
      <c r="D321" t="s">
        <v>156</v>
      </c>
      <c r="E321" t="s">
        <v>82</v>
      </c>
      <c r="F321" t="s">
        <v>98</v>
      </c>
      <c r="G321">
        <v>0</v>
      </c>
      <c r="H321" t="s">
        <v>31</v>
      </c>
      <c r="I321" t="s">
        <v>56</v>
      </c>
      <c r="J321">
        <v>31</v>
      </c>
      <c r="K321">
        <v>2.7</v>
      </c>
      <c r="L321">
        <v>-5.6</v>
      </c>
      <c r="M321" t="s">
        <v>47</v>
      </c>
      <c r="N321">
        <v>17</v>
      </c>
      <c r="P321">
        <v>7</v>
      </c>
      <c r="Q321" t="s">
        <v>28</v>
      </c>
      <c r="R321">
        <v>5</v>
      </c>
      <c r="S321" t="s">
        <v>41</v>
      </c>
      <c r="T321">
        <v>63.2</v>
      </c>
      <c r="U321" t="s">
        <v>41</v>
      </c>
      <c r="V321" t="s">
        <v>51</v>
      </c>
    </row>
    <row r="322" spans="1:22" x14ac:dyDescent="0.3">
      <c r="A322" t="s">
        <v>471</v>
      </c>
      <c r="B322">
        <v>2026</v>
      </c>
      <c r="C322" t="s">
        <v>134</v>
      </c>
      <c r="D322" t="s">
        <v>89</v>
      </c>
      <c r="E322" t="s">
        <v>86</v>
      </c>
      <c r="F322" t="s">
        <v>75</v>
      </c>
      <c r="G322" t="s">
        <v>38</v>
      </c>
      <c r="H322" t="s">
        <v>28</v>
      </c>
      <c r="I322" t="s">
        <v>65</v>
      </c>
      <c r="J322">
        <v>17</v>
      </c>
      <c r="K322">
        <v>7.8</v>
      </c>
      <c r="L322">
        <v>20.8</v>
      </c>
      <c r="M322" t="s">
        <v>30</v>
      </c>
      <c r="N322">
        <v>243</v>
      </c>
      <c r="O322">
        <v>0</v>
      </c>
      <c r="P322">
        <v>7</v>
      </c>
      <c r="Q322" t="s">
        <v>41</v>
      </c>
      <c r="R322">
        <v>7</v>
      </c>
      <c r="S322" t="s">
        <v>31</v>
      </c>
      <c r="T322">
        <v>7.4</v>
      </c>
      <c r="U322" t="s">
        <v>31</v>
      </c>
      <c r="V322" t="s">
        <v>72</v>
      </c>
    </row>
    <row r="323" spans="1:22" x14ac:dyDescent="0.3">
      <c r="A323" t="s">
        <v>472</v>
      </c>
      <c r="B323">
        <v>2024</v>
      </c>
      <c r="C323" t="s">
        <v>80</v>
      </c>
      <c r="D323" t="s">
        <v>43</v>
      </c>
      <c r="E323" t="s">
        <v>82</v>
      </c>
      <c r="F323" t="s">
        <v>37</v>
      </c>
      <c r="G323" t="s">
        <v>55</v>
      </c>
      <c r="H323" t="s">
        <v>28</v>
      </c>
      <c r="I323" t="s">
        <v>40</v>
      </c>
      <c r="J323">
        <v>20</v>
      </c>
      <c r="K323">
        <v>2.5</v>
      </c>
      <c r="L323">
        <v>-4.9000000000000004</v>
      </c>
      <c r="M323" t="s">
        <v>30</v>
      </c>
      <c r="N323">
        <v>24</v>
      </c>
      <c r="O323">
        <v>101.6</v>
      </c>
      <c r="P323">
        <v>5</v>
      </c>
      <c r="Q323" t="s">
        <v>31</v>
      </c>
      <c r="R323">
        <v>6</v>
      </c>
      <c r="S323" t="s">
        <v>31</v>
      </c>
      <c r="T323">
        <v>7.4</v>
      </c>
      <c r="U323" t="s">
        <v>41</v>
      </c>
      <c r="V323" t="s">
        <v>32</v>
      </c>
    </row>
    <row r="324" spans="1:22" x14ac:dyDescent="0.3">
      <c r="A324" t="s">
        <v>473</v>
      </c>
      <c r="B324">
        <v>2026</v>
      </c>
      <c r="C324" t="s">
        <v>217</v>
      </c>
      <c r="D324" t="s">
        <v>24</v>
      </c>
      <c r="E324" t="s">
        <v>36</v>
      </c>
      <c r="F324" t="s">
        <v>26</v>
      </c>
      <c r="G324" t="s">
        <v>27</v>
      </c>
      <c r="H324" t="s">
        <v>28</v>
      </c>
      <c r="I324" t="s">
        <v>90</v>
      </c>
      <c r="J324">
        <v>51</v>
      </c>
      <c r="K324">
        <v>18.899999999999999</v>
      </c>
      <c r="L324">
        <v>31.8</v>
      </c>
      <c r="M324" t="s">
        <v>50</v>
      </c>
      <c r="N324">
        <v>27</v>
      </c>
      <c r="O324">
        <v>70.25</v>
      </c>
      <c r="P324">
        <v>8</v>
      </c>
      <c r="Q324" t="s">
        <v>41</v>
      </c>
      <c r="R324">
        <v>3</v>
      </c>
      <c r="S324" t="s">
        <v>28</v>
      </c>
      <c r="T324">
        <v>6.9</v>
      </c>
      <c r="U324" t="s">
        <v>31</v>
      </c>
      <c r="V324" t="s">
        <v>72</v>
      </c>
    </row>
    <row r="325" spans="1:22" x14ac:dyDescent="0.3">
      <c r="A325" t="s">
        <v>474</v>
      </c>
      <c r="B325">
        <v>2024</v>
      </c>
      <c r="C325" t="s">
        <v>23</v>
      </c>
      <c r="D325" t="s">
        <v>59</v>
      </c>
      <c r="E325" t="s">
        <v>25</v>
      </c>
      <c r="F325" t="s">
        <v>98</v>
      </c>
      <c r="G325" t="s">
        <v>55</v>
      </c>
      <c r="H325" t="s">
        <v>31</v>
      </c>
      <c r="I325" t="s">
        <v>90</v>
      </c>
      <c r="J325">
        <v>16</v>
      </c>
      <c r="K325">
        <v>0.9</v>
      </c>
      <c r="L325">
        <v>0.3</v>
      </c>
      <c r="M325" t="s">
        <v>30</v>
      </c>
      <c r="N325">
        <v>2</v>
      </c>
      <c r="O325">
        <v>28.09</v>
      </c>
      <c r="P325">
        <v>6</v>
      </c>
      <c r="Q325" t="s">
        <v>28</v>
      </c>
      <c r="R325">
        <v>5</v>
      </c>
      <c r="S325" t="s">
        <v>31</v>
      </c>
      <c r="T325">
        <v>9.8000000000000007</v>
      </c>
      <c r="U325" t="s">
        <v>41</v>
      </c>
      <c r="V325" t="s">
        <v>51</v>
      </c>
    </row>
    <row r="326" spans="1:22" x14ac:dyDescent="0.3">
      <c r="A326" t="s">
        <v>475</v>
      </c>
      <c r="B326">
        <v>2024</v>
      </c>
      <c r="C326" t="s">
        <v>101</v>
      </c>
      <c r="D326" t="s">
        <v>81</v>
      </c>
      <c r="E326" t="s">
        <v>86</v>
      </c>
      <c r="F326" t="s">
        <v>120</v>
      </c>
      <c r="G326" t="s">
        <v>27</v>
      </c>
      <c r="H326" t="s">
        <v>31</v>
      </c>
      <c r="I326" t="s">
        <v>56</v>
      </c>
      <c r="J326">
        <v>10</v>
      </c>
      <c r="K326">
        <v>0.8</v>
      </c>
      <c r="L326">
        <v>-8.8000000000000007</v>
      </c>
      <c r="M326" t="s">
        <v>47</v>
      </c>
      <c r="N326">
        <v>3</v>
      </c>
      <c r="O326">
        <v>19.02</v>
      </c>
      <c r="P326">
        <v>4</v>
      </c>
      <c r="Q326" t="s">
        <v>31</v>
      </c>
      <c r="R326">
        <v>4</v>
      </c>
      <c r="S326" t="s">
        <v>31</v>
      </c>
      <c r="T326">
        <v>6.5</v>
      </c>
      <c r="U326" t="s">
        <v>28</v>
      </c>
      <c r="V326" t="s">
        <v>51</v>
      </c>
    </row>
    <row r="327" spans="1:22" x14ac:dyDescent="0.3">
      <c r="A327" t="s">
        <v>476</v>
      </c>
      <c r="B327">
        <v>2024</v>
      </c>
      <c r="C327" t="s">
        <v>34</v>
      </c>
      <c r="D327" t="s">
        <v>43</v>
      </c>
      <c r="E327" t="s">
        <v>86</v>
      </c>
      <c r="F327" t="s">
        <v>75</v>
      </c>
      <c r="G327" t="s">
        <v>76</v>
      </c>
      <c r="H327" t="s">
        <v>28</v>
      </c>
      <c r="I327" t="s">
        <v>90</v>
      </c>
      <c r="J327">
        <v>48</v>
      </c>
      <c r="K327">
        <v>3.7</v>
      </c>
      <c r="L327">
        <v>-1.3</v>
      </c>
      <c r="M327" t="s">
        <v>50</v>
      </c>
      <c r="N327">
        <v>1</v>
      </c>
      <c r="O327">
        <v>145.55000000000001</v>
      </c>
      <c r="P327">
        <v>8</v>
      </c>
      <c r="Q327" t="s">
        <v>31</v>
      </c>
      <c r="R327">
        <v>7</v>
      </c>
      <c r="S327" t="s">
        <v>31</v>
      </c>
      <c r="T327">
        <v>8.4</v>
      </c>
      <c r="U327" t="s">
        <v>41</v>
      </c>
      <c r="V327" t="s">
        <v>32</v>
      </c>
    </row>
    <row r="328" spans="1:22" x14ac:dyDescent="0.3">
      <c r="A328" t="s">
        <v>477</v>
      </c>
      <c r="B328">
        <v>2026</v>
      </c>
      <c r="C328" t="s">
        <v>134</v>
      </c>
      <c r="D328" t="s">
        <v>156</v>
      </c>
      <c r="E328" t="s">
        <v>25</v>
      </c>
      <c r="F328" t="s">
        <v>120</v>
      </c>
      <c r="G328" t="s">
        <v>27</v>
      </c>
      <c r="H328" t="s">
        <v>39</v>
      </c>
      <c r="I328" t="s">
        <v>56</v>
      </c>
      <c r="J328">
        <v>51</v>
      </c>
      <c r="K328">
        <v>10.1</v>
      </c>
      <c r="L328">
        <v>13.5</v>
      </c>
      <c r="M328" t="s">
        <v>50</v>
      </c>
      <c r="N328">
        <v>11</v>
      </c>
      <c r="O328">
        <v>61.75</v>
      </c>
      <c r="P328">
        <v>10</v>
      </c>
      <c r="Q328" t="s">
        <v>41</v>
      </c>
      <c r="R328">
        <v>9</v>
      </c>
      <c r="S328" t="s">
        <v>91</v>
      </c>
      <c r="T328">
        <v>5.2</v>
      </c>
      <c r="U328" t="s">
        <v>28</v>
      </c>
      <c r="V328" t="s">
        <v>72</v>
      </c>
    </row>
    <row r="329" spans="1:22" hidden="1" x14ac:dyDescent="0.3">
      <c r="A329" t="s">
        <v>478</v>
      </c>
      <c r="B329">
        <v>2024</v>
      </c>
      <c r="C329" t="s">
        <v>74</v>
      </c>
      <c r="D329" t="s">
        <v>69</v>
      </c>
      <c r="E329" t="s">
        <v>82</v>
      </c>
      <c r="F329" t="s">
        <v>98</v>
      </c>
      <c r="G329" t="s">
        <v>76</v>
      </c>
      <c r="H329" t="s">
        <v>114</v>
      </c>
      <c r="I329" t="s">
        <v>115</v>
      </c>
      <c r="J329">
        <v>0</v>
      </c>
      <c r="K329">
        <v>0</v>
      </c>
      <c r="L329">
        <v>1.4</v>
      </c>
      <c r="M329" t="s">
        <v>47</v>
      </c>
      <c r="N329">
        <v>14</v>
      </c>
      <c r="O329">
        <v>0</v>
      </c>
      <c r="P329">
        <v>7</v>
      </c>
      <c r="Q329" t="s">
        <v>28</v>
      </c>
      <c r="R329">
        <v>2</v>
      </c>
      <c r="S329" t="s">
        <v>174</v>
      </c>
      <c r="U329" t="s">
        <v>41</v>
      </c>
      <c r="V329" t="s">
        <v>51</v>
      </c>
    </row>
    <row r="330" spans="1:22" x14ac:dyDescent="0.3">
      <c r="A330" t="s">
        <v>479</v>
      </c>
      <c r="B330">
        <v>2026</v>
      </c>
      <c r="C330" t="s">
        <v>217</v>
      </c>
      <c r="D330" t="s">
        <v>63</v>
      </c>
      <c r="E330" t="s">
        <v>86</v>
      </c>
      <c r="F330" t="s">
        <v>132</v>
      </c>
      <c r="G330" t="s">
        <v>45</v>
      </c>
      <c r="H330" t="s">
        <v>41</v>
      </c>
      <c r="I330" t="s">
        <v>46</v>
      </c>
      <c r="J330">
        <v>15</v>
      </c>
      <c r="K330">
        <v>5.4</v>
      </c>
      <c r="L330">
        <v>17.3</v>
      </c>
      <c r="M330" t="s">
        <v>47</v>
      </c>
      <c r="N330">
        <v>0</v>
      </c>
      <c r="O330">
        <v>21.87</v>
      </c>
      <c r="P330">
        <v>5</v>
      </c>
      <c r="Q330" t="s">
        <v>28</v>
      </c>
      <c r="R330">
        <v>3</v>
      </c>
      <c r="S330" t="s">
        <v>31</v>
      </c>
      <c r="T330">
        <v>9</v>
      </c>
      <c r="U330" t="s">
        <v>28</v>
      </c>
      <c r="V330" t="s">
        <v>51</v>
      </c>
    </row>
    <row r="331" spans="1:22" x14ac:dyDescent="0.3">
      <c r="A331" t="s">
        <v>480</v>
      </c>
      <c r="B331">
        <v>2025</v>
      </c>
      <c r="C331" t="s">
        <v>101</v>
      </c>
      <c r="D331" t="s">
        <v>69</v>
      </c>
      <c r="E331" t="s">
        <v>86</v>
      </c>
      <c r="F331" t="s">
        <v>64</v>
      </c>
      <c r="G331" t="s">
        <v>38</v>
      </c>
      <c r="H331" t="s">
        <v>41</v>
      </c>
      <c r="I331" t="s">
        <v>90</v>
      </c>
      <c r="J331">
        <v>11</v>
      </c>
      <c r="K331">
        <v>0.7</v>
      </c>
      <c r="L331">
        <v>-0.4</v>
      </c>
      <c r="M331" t="s">
        <v>30</v>
      </c>
      <c r="N331">
        <v>23</v>
      </c>
      <c r="O331">
        <v>17.41</v>
      </c>
      <c r="P331">
        <v>5</v>
      </c>
      <c r="Q331" t="s">
        <v>39</v>
      </c>
      <c r="R331">
        <v>6</v>
      </c>
      <c r="S331" t="s">
        <v>28</v>
      </c>
      <c r="T331">
        <v>10.7</v>
      </c>
      <c r="U331" t="s">
        <v>31</v>
      </c>
      <c r="V331" t="s">
        <v>51</v>
      </c>
    </row>
    <row r="332" spans="1:22" x14ac:dyDescent="0.3">
      <c r="A332" t="s">
        <v>481</v>
      </c>
      <c r="B332">
        <v>2026</v>
      </c>
      <c r="C332" t="s">
        <v>134</v>
      </c>
      <c r="D332" t="s">
        <v>81</v>
      </c>
      <c r="E332" t="s">
        <v>25</v>
      </c>
      <c r="F332" t="s">
        <v>54</v>
      </c>
      <c r="G332" t="s">
        <v>27</v>
      </c>
      <c r="H332" t="s">
        <v>28</v>
      </c>
      <c r="I332" t="s">
        <v>71</v>
      </c>
      <c r="J332">
        <v>27</v>
      </c>
      <c r="K332">
        <v>3.8</v>
      </c>
      <c r="L332">
        <v>14.2</v>
      </c>
      <c r="M332" t="s">
        <v>50</v>
      </c>
      <c r="N332">
        <v>10</v>
      </c>
      <c r="O332">
        <v>276.60000000000002</v>
      </c>
      <c r="P332">
        <v>6</v>
      </c>
      <c r="Q332" t="s">
        <v>31</v>
      </c>
      <c r="R332">
        <v>7</v>
      </c>
      <c r="S332" t="s">
        <v>28</v>
      </c>
      <c r="T332">
        <v>8.6999999999999993</v>
      </c>
      <c r="U332" t="s">
        <v>39</v>
      </c>
      <c r="V332" t="s">
        <v>32</v>
      </c>
    </row>
    <row r="333" spans="1:22" hidden="1" x14ac:dyDescent="0.3">
      <c r="A333" t="s">
        <v>482</v>
      </c>
      <c r="B333">
        <v>2024</v>
      </c>
      <c r="C333" t="s">
        <v>104</v>
      </c>
      <c r="D333" t="s">
        <v>156</v>
      </c>
      <c r="E333" t="s">
        <v>82</v>
      </c>
      <c r="F333" t="s">
        <v>70</v>
      </c>
      <c r="H333" t="s">
        <v>114</v>
      </c>
      <c r="I333" t="s">
        <v>115</v>
      </c>
      <c r="J333">
        <v>0</v>
      </c>
      <c r="K333">
        <v>0</v>
      </c>
      <c r="L333">
        <v>5.4</v>
      </c>
      <c r="M333" t="s">
        <v>47</v>
      </c>
      <c r="N333">
        <v>7</v>
      </c>
      <c r="O333">
        <v>0</v>
      </c>
      <c r="P333">
        <v>4</v>
      </c>
      <c r="Q333" t="s">
        <v>31</v>
      </c>
      <c r="R333">
        <v>3</v>
      </c>
      <c r="S333" t="s">
        <v>41</v>
      </c>
      <c r="U333" t="s">
        <v>41</v>
      </c>
      <c r="V333" t="s">
        <v>32</v>
      </c>
    </row>
    <row r="334" spans="1:22" x14ac:dyDescent="0.3">
      <c r="A334" t="s">
        <v>483</v>
      </c>
      <c r="B334">
        <v>2026</v>
      </c>
      <c r="C334" t="s">
        <v>58</v>
      </c>
      <c r="D334" t="s">
        <v>81</v>
      </c>
      <c r="E334" t="s">
        <v>36</v>
      </c>
      <c r="F334" t="s">
        <v>64</v>
      </c>
      <c r="G334" t="s">
        <v>27</v>
      </c>
      <c r="H334" t="s">
        <v>39</v>
      </c>
      <c r="I334" t="s">
        <v>71</v>
      </c>
      <c r="J334">
        <v>122</v>
      </c>
      <c r="K334">
        <v>26</v>
      </c>
      <c r="L334">
        <v>37.200000000000003</v>
      </c>
      <c r="M334" t="s">
        <v>50</v>
      </c>
      <c r="N334">
        <v>254</v>
      </c>
      <c r="O334">
        <v>184.26</v>
      </c>
      <c r="P334">
        <v>8</v>
      </c>
      <c r="Q334" t="s">
        <v>31</v>
      </c>
      <c r="R334">
        <v>7</v>
      </c>
      <c r="S334" t="s">
        <v>28</v>
      </c>
      <c r="T334">
        <v>6.6</v>
      </c>
      <c r="U334" t="s">
        <v>28</v>
      </c>
      <c r="V334" t="s">
        <v>72</v>
      </c>
    </row>
    <row r="335" spans="1:22" x14ac:dyDescent="0.3">
      <c r="A335" t="s">
        <v>484</v>
      </c>
      <c r="B335">
        <v>2026</v>
      </c>
      <c r="C335" t="s">
        <v>94</v>
      </c>
      <c r="D335" t="s">
        <v>81</v>
      </c>
      <c r="E335" t="s">
        <v>82</v>
      </c>
      <c r="F335" t="s">
        <v>37</v>
      </c>
      <c r="G335" t="s">
        <v>38</v>
      </c>
      <c r="H335" t="s">
        <v>28</v>
      </c>
      <c r="I335" t="s">
        <v>46</v>
      </c>
      <c r="J335">
        <v>28</v>
      </c>
      <c r="K335">
        <v>4.7</v>
      </c>
      <c r="L335">
        <v>25.8</v>
      </c>
      <c r="M335" t="s">
        <v>30</v>
      </c>
      <c r="N335">
        <v>12</v>
      </c>
      <c r="O335">
        <v>109.53</v>
      </c>
      <c r="P335">
        <v>7</v>
      </c>
      <c r="Q335" t="s">
        <v>31</v>
      </c>
      <c r="R335">
        <v>5</v>
      </c>
      <c r="S335" t="s">
        <v>28</v>
      </c>
      <c r="T335">
        <v>7.3</v>
      </c>
      <c r="U335" t="s">
        <v>28</v>
      </c>
      <c r="V335" t="s">
        <v>32</v>
      </c>
    </row>
    <row r="336" spans="1:22" x14ac:dyDescent="0.3">
      <c r="A336" t="s">
        <v>485</v>
      </c>
      <c r="B336">
        <v>2026</v>
      </c>
      <c r="C336" t="s">
        <v>94</v>
      </c>
      <c r="D336" t="s">
        <v>59</v>
      </c>
      <c r="E336" t="s">
        <v>82</v>
      </c>
      <c r="F336" t="s">
        <v>87</v>
      </c>
      <c r="G336" t="s">
        <v>45</v>
      </c>
      <c r="H336" t="s">
        <v>28</v>
      </c>
      <c r="I336" t="s">
        <v>71</v>
      </c>
      <c r="J336">
        <v>50</v>
      </c>
      <c r="K336">
        <v>5.9</v>
      </c>
      <c r="L336">
        <v>0</v>
      </c>
      <c r="M336" t="s">
        <v>50</v>
      </c>
      <c r="N336">
        <v>42</v>
      </c>
      <c r="O336">
        <v>55.93</v>
      </c>
      <c r="P336">
        <v>5</v>
      </c>
      <c r="Q336" t="s">
        <v>39</v>
      </c>
      <c r="R336">
        <v>7</v>
      </c>
      <c r="S336" t="s">
        <v>31</v>
      </c>
      <c r="T336">
        <v>11.7</v>
      </c>
      <c r="U336" t="s">
        <v>41</v>
      </c>
      <c r="V336" t="s">
        <v>32</v>
      </c>
    </row>
    <row r="337" spans="1:22" x14ac:dyDescent="0.3">
      <c r="A337" t="s">
        <v>486</v>
      </c>
      <c r="B337">
        <v>2025</v>
      </c>
      <c r="C337" t="s">
        <v>74</v>
      </c>
      <c r="D337" t="s">
        <v>69</v>
      </c>
      <c r="E337" t="s">
        <v>86</v>
      </c>
      <c r="F337" t="s">
        <v>60</v>
      </c>
      <c r="G337" t="s">
        <v>38</v>
      </c>
      <c r="H337" t="s">
        <v>41</v>
      </c>
      <c r="I337" t="s">
        <v>61</v>
      </c>
      <c r="J337">
        <v>12</v>
      </c>
      <c r="K337">
        <v>1.8</v>
      </c>
      <c r="L337">
        <v>6.3</v>
      </c>
      <c r="M337" t="s">
        <v>47</v>
      </c>
      <c r="N337">
        <v>7</v>
      </c>
      <c r="O337">
        <v>13.64</v>
      </c>
      <c r="P337">
        <v>3</v>
      </c>
      <c r="Q337" t="s">
        <v>28</v>
      </c>
      <c r="R337">
        <v>5</v>
      </c>
      <c r="S337" t="s">
        <v>41</v>
      </c>
      <c r="T337">
        <v>7.2</v>
      </c>
      <c r="U337" t="s">
        <v>28</v>
      </c>
      <c r="V337" t="s">
        <v>125</v>
      </c>
    </row>
    <row r="338" spans="1:22" x14ac:dyDescent="0.3">
      <c r="A338" t="s">
        <v>487</v>
      </c>
      <c r="B338">
        <v>2025</v>
      </c>
      <c r="C338" t="s">
        <v>74</v>
      </c>
      <c r="D338" t="s">
        <v>63</v>
      </c>
      <c r="E338" t="s">
        <v>36</v>
      </c>
      <c r="F338" t="s">
        <v>60</v>
      </c>
      <c r="G338" t="s">
        <v>27</v>
      </c>
      <c r="H338" t="s">
        <v>28</v>
      </c>
      <c r="I338" t="s">
        <v>61</v>
      </c>
      <c r="J338">
        <v>12</v>
      </c>
      <c r="K338">
        <v>1.4</v>
      </c>
      <c r="L338">
        <v>-13.3</v>
      </c>
      <c r="M338" t="s">
        <v>30</v>
      </c>
      <c r="N338">
        <v>7</v>
      </c>
      <c r="O338">
        <v>83.09</v>
      </c>
      <c r="P338">
        <v>5</v>
      </c>
      <c r="Q338" t="s">
        <v>41</v>
      </c>
      <c r="R338">
        <v>6</v>
      </c>
      <c r="S338" t="s">
        <v>31</v>
      </c>
      <c r="T338">
        <v>9.1999999999999993</v>
      </c>
      <c r="U338" t="s">
        <v>39</v>
      </c>
      <c r="V338" t="s">
        <v>51</v>
      </c>
    </row>
    <row r="339" spans="1:22" x14ac:dyDescent="0.3">
      <c r="A339" t="s">
        <v>488</v>
      </c>
      <c r="B339">
        <v>2026</v>
      </c>
      <c r="C339" t="s">
        <v>58</v>
      </c>
      <c r="D339" t="s">
        <v>81</v>
      </c>
      <c r="E339" t="s">
        <v>25</v>
      </c>
      <c r="F339" t="s">
        <v>75</v>
      </c>
      <c r="G339" t="s">
        <v>45</v>
      </c>
      <c r="H339" t="s">
        <v>28</v>
      </c>
      <c r="I339" t="s">
        <v>71</v>
      </c>
      <c r="J339">
        <v>50</v>
      </c>
      <c r="K339">
        <v>19.3</v>
      </c>
      <c r="L339">
        <v>24.7</v>
      </c>
      <c r="M339" t="s">
        <v>50</v>
      </c>
      <c r="N339">
        <v>12</v>
      </c>
      <c r="O339">
        <v>319.81</v>
      </c>
      <c r="P339">
        <v>5</v>
      </c>
      <c r="Q339" t="s">
        <v>31</v>
      </c>
      <c r="R339">
        <v>7</v>
      </c>
      <c r="S339" t="s">
        <v>28</v>
      </c>
      <c r="T339">
        <v>10.7</v>
      </c>
      <c r="U339" t="s">
        <v>39</v>
      </c>
      <c r="V339" t="s">
        <v>32</v>
      </c>
    </row>
    <row r="340" spans="1:22" x14ac:dyDescent="0.3">
      <c r="A340" t="s">
        <v>489</v>
      </c>
      <c r="B340">
        <v>2026</v>
      </c>
      <c r="C340" t="s">
        <v>53</v>
      </c>
      <c r="D340" t="s">
        <v>69</v>
      </c>
      <c r="E340" t="s">
        <v>36</v>
      </c>
      <c r="F340" t="s">
        <v>75</v>
      </c>
      <c r="G340" t="s">
        <v>55</v>
      </c>
      <c r="H340" t="s">
        <v>39</v>
      </c>
      <c r="I340" t="s">
        <v>49</v>
      </c>
      <c r="J340">
        <v>67</v>
      </c>
      <c r="K340">
        <v>22.6</v>
      </c>
      <c r="L340">
        <v>44.6</v>
      </c>
      <c r="M340" t="s">
        <v>50</v>
      </c>
      <c r="N340">
        <v>34</v>
      </c>
      <c r="O340">
        <v>157.85</v>
      </c>
      <c r="P340">
        <v>8</v>
      </c>
      <c r="Q340" t="s">
        <v>31</v>
      </c>
      <c r="R340">
        <v>6</v>
      </c>
      <c r="S340" t="s">
        <v>31</v>
      </c>
      <c r="T340">
        <v>6.6</v>
      </c>
      <c r="U340" t="s">
        <v>28</v>
      </c>
      <c r="V340" t="s">
        <v>72</v>
      </c>
    </row>
    <row r="341" spans="1:22" x14ac:dyDescent="0.3">
      <c r="A341" t="s">
        <v>490</v>
      </c>
      <c r="B341">
        <v>2025</v>
      </c>
      <c r="C341" t="s">
        <v>68</v>
      </c>
      <c r="D341" t="s">
        <v>59</v>
      </c>
      <c r="E341" t="s">
        <v>82</v>
      </c>
      <c r="F341" t="s">
        <v>44</v>
      </c>
      <c r="G341" t="s">
        <v>27</v>
      </c>
      <c r="H341" t="s">
        <v>31</v>
      </c>
      <c r="I341" t="s">
        <v>65</v>
      </c>
      <c r="J341">
        <v>19</v>
      </c>
      <c r="K341">
        <v>11.8</v>
      </c>
      <c r="L341">
        <v>23.8</v>
      </c>
      <c r="M341" t="s">
        <v>30</v>
      </c>
      <c r="N341">
        <v>0</v>
      </c>
      <c r="O341">
        <v>25.15</v>
      </c>
      <c r="P341">
        <v>8</v>
      </c>
      <c r="Q341" t="s">
        <v>31</v>
      </c>
      <c r="R341">
        <v>7</v>
      </c>
      <c r="S341" t="s">
        <v>28</v>
      </c>
      <c r="T341">
        <v>7.4</v>
      </c>
      <c r="U341" t="s">
        <v>28</v>
      </c>
      <c r="V341" t="s">
        <v>72</v>
      </c>
    </row>
    <row r="342" spans="1:22" x14ac:dyDescent="0.3">
      <c r="A342" t="s">
        <v>491</v>
      </c>
      <c r="B342">
        <v>2024</v>
      </c>
      <c r="C342" t="s">
        <v>53</v>
      </c>
      <c r="D342" t="s">
        <v>24</v>
      </c>
      <c r="E342" t="s">
        <v>25</v>
      </c>
      <c r="F342" t="s">
        <v>64</v>
      </c>
      <c r="G342" t="s">
        <v>27</v>
      </c>
      <c r="H342" t="s">
        <v>31</v>
      </c>
      <c r="I342" t="s">
        <v>65</v>
      </c>
      <c r="J342">
        <v>8</v>
      </c>
      <c r="K342">
        <v>1</v>
      </c>
      <c r="L342">
        <v>-0.4</v>
      </c>
      <c r="M342" t="s">
        <v>30</v>
      </c>
      <c r="N342">
        <v>39</v>
      </c>
      <c r="O342">
        <v>88.43</v>
      </c>
      <c r="P342">
        <v>4</v>
      </c>
      <c r="Q342" t="s">
        <v>28</v>
      </c>
      <c r="R342">
        <v>4</v>
      </c>
      <c r="S342" t="s">
        <v>41</v>
      </c>
      <c r="T342">
        <v>16.3</v>
      </c>
      <c r="U342" t="s">
        <v>31</v>
      </c>
      <c r="V342" t="s">
        <v>125</v>
      </c>
    </row>
    <row r="343" spans="1:22" x14ac:dyDescent="0.3">
      <c r="A343" t="s">
        <v>492</v>
      </c>
      <c r="B343">
        <v>2026</v>
      </c>
      <c r="C343" t="s">
        <v>217</v>
      </c>
      <c r="D343" t="s">
        <v>59</v>
      </c>
      <c r="E343" t="s">
        <v>36</v>
      </c>
      <c r="F343" t="s">
        <v>64</v>
      </c>
      <c r="G343" t="s">
        <v>38</v>
      </c>
      <c r="H343" t="s">
        <v>39</v>
      </c>
      <c r="I343" t="s">
        <v>71</v>
      </c>
      <c r="J343">
        <v>71</v>
      </c>
      <c r="K343">
        <v>14.4</v>
      </c>
      <c r="L343">
        <v>26.5</v>
      </c>
      <c r="M343" t="s">
        <v>50</v>
      </c>
      <c r="N343">
        <v>9</v>
      </c>
      <c r="O343">
        <v>186.69</v>
      </c>
      <c r="P343">
        <v>8</v>
      </c>
      <c r="Q343" t="s">
        <v>31</v>
      </c>
      <c r="R343">
        <v>4</v>
      </c>
      <c r="S343" t="s">
        <v>31</v>
      </c>
      <c r="T343">
        <v>7.1</v>
      </c>
      <c r="U343" t="s">
        <v>28</v>
      </c>
      <c r="V343" t="s">
        <v>72</v>
      </c>
    </row>
    <row r="344" spans="1:22" x14ac:dyDescent="0.3">
      <c r="A344" t="s">
        <v>493</v>
      </c>
      <c r="B344">
        <v>2025</v>
      </c>
      <c r="C344" t="s">
        <v>34</v>
      </c>
      <c r="D344" t="s">
        <v>102</v>
      </c>
      <c r="E344" t="s">
        <v>25</v>
      </c>
      <c r="F344" t="s">
        <v>26</v>
      </c>
      <c r="G344" t="s">
        <v>38</v>
      </c>
      <c r="H344" t="s">
        <v>31</v>
      </c>
      <c r="I344" t="s">
        <v>65</v>
      </c>
      <c r="J344">
        <v>11</v>
      </c>
      <c r="K344">
        <v>1.9</v>
      </c>
      <c r="L344">
        <v>3.5</v>
      </c>
      <c r="M344" t="s">
        <v>30</v>
      </c>
      <c r="N344">
        <v>40</v>
      </c>
      <c r="O344">
        <v>32.28</v>
      </c>
      <c r="P344">
        <v>5</v>
      </c>
      <c r="Q344" t="s">
        <v>39</v>
      </c>
      <c r="R344">
        <v>5</v>
      </c>
      <c r="S344" t="s">
        <v>331</v>
      </c>
      <c r="T344">
        <v>6.8</v>
      </c>
      <c r="U344" t="s">
        <v>31</v>
      </c>
      <c r="V344" t="s">
        <v>51</v>
      </c>
    </row>
    <row r="345" spans="1:22" x14ac:dyDescent="0.3">
      <c r="A345" t="s">
        <v>494</v>
      </c>
      <c r="B345">
        <v>2024</v>
      </c>
      <c r="C345" t="s">
        <v>84</v>
      </c>
      <c r="D345" t="s">
        <v>81</v>
      </c>
      <c r="E345" t="s">
        <v>86</v>
      </c>
      <c r="F345" t="s">
        <v>132</v>
      </c>
      <c r="G345" t="s">
        <v>27</v>
      </c>
      <c r="H345" t="s">
        <v>41</v>
      </c>
      <c r="I345" t="s">
        <v>46</v>
      </c>
      <c r="J345">
        <v>3</v>
      </c>
      <c r="K345">
        <v>1.1000000000000001</v>
      </c>
      <c r="L345">
        <v>6.8</v>
      </c>
      <c r="M345" t="s">
        <v>30</v>
      </c>
      <c r="N345">
        <v>13</v>
      </c>
      <c r="O345">
        <v>21.54</v>
      </c>
      <c r="P345">
        <v>4</v>
      </c>
      <c r="Q345" t="s">
        <v>39</v>
      </c>
      <c r="R345">
        <v>5</v>
      </c>
      <c r="S345" t="s">
        <v>41</v>
      </c>
      <c r="T345">
        <v>12.1</v>
      </c>
      <c r="U345" t="s">
        <v>31</v>
      </c>
      <c r="V345" t="s">
        <v>51</v>
      </c>
    </row>
    <row r="346" spans="1:22" x14ac:dyDescent="0.3">
      <c r="A346" t="s">
        <v>495</v>
      </c>
      <c r="B346">
        <v>2026</v>
      </c>
      <c r="C346" t="s">
        <v>101</v>
      </c>
      <c r="D346" t="s">
        <v>24</v>
      </c>
      <c r="E346" t="s">
        <v>25</v>
      </c>
      <c r="F346" t="s">
        <v>37</v>
      </c>
      <c r="G346" t="s">
        <v>55</v>
      </c>
      <c r="H346" t="s">
        <v>28</v>
      </c>
      <c r="I346" t="s">
        <v>71</v>
      </c>
      <c r="J346">
        <v>54</v>
      </c>
      <c r="K346">
        <v>14</v>
      </c>
      <c r="L346">
        <v>42.4</v>
      </c>
      <c r="M346" t="s">
        <v>30</v>
      </c>
      <c r="N346">
        <v>0</v>
      </c>
      <c r="O346">
        <v>185.22</v>
      </c>
      <c r="P346">
        <v>7</v>
      </c>
      <c r="Q346" t="s">
        <v>28</v>
      </c>
      <c r="R346">
        <v>7</v>
      </c>
      <c r="S346" t="s">
        <v>31</v>
      </c>
      <c r="T346">
        <v>6.5</v>
      </c>
      <c r="U346" t="s">
        <v>39</v>
      </c>
      <c r="V346" t="s">
        <v>32</v>
      </c>
    </row>
    <row r="347" spans="1:22" x14ac:dyDescent="0.3">
      <c r="A347" t="s">
        <v>496</v>
      </c>
      <c r="B347">
        <v>2024</v>
      </c>
      <c r="C347" t="s">
        <v>74</v>
      </c>
      <c r="D347" t="s">
        <v>156</v>
      </c>
      <c r="E347" t="s">
        <v>36</v>
      </c>
      <c r="F347" t="s">
        <v>37</v>
      </c>
      <c r="G347" t="s">
        <v>76</v>
      </c>
      <c r="H347" t="s">
        <v>31</v>
      </c>
      <c r="I347" t="s">
        <v>40</v>
      </c>
      <c r="J347">
        <v>5</v>
      </c>
      <c r="K347">
        <v>3.3</v>
      </c>
      <c r="L347">
        <v>7</v>
      </c>
      <c r="M347" t="s">
        <v>30</v>
      </c>
      <c r="N347">
        <v>17</v>
      </c>
      <c r="O347">
        <v>63.59</v>
      </c>
      <c r="P347">
        <v>5</v>
      </c>
      <c r="Q347" t="s">
        <v>31</v>
      </c>
      <c r="R347">
        <v>5</v>
      </c>
      <c r="S347" t="s">
        <v>28</v>
      </c>
      <c r="T347">
        <v>5.6</v>
      </c>
      <c r="U347" t="s">
        <v>41</v>
      </c>
      <c r="V347" t="s">
        <v>32</v>
      </c>
    </row>
    <row r="348" spans="1:22" x14ac:dyDescent="0.3">
      <c r="A348" t="s">
        <v>497</v>
      </c>
      <c r="B348">
        <v>2025</v>
      </c>
      <c r="C348" t="s">
        <v>101</v>
      </c>
      <c r="D348" t="s">
        <v>81</v>
      </c>
      <c r="E348" t="s">
        <v>36</v>
      </c>
      <c r="F348" t="s">
        <v>37</v>
      </c>
      <c r="G348" t="s">
        <v>55</v>
      </c>
      <c r="H348" t="s">
        <v>39</v>
      </c>
      <c r="I348" t="s">
        <v>40</v>
      </c>
      <c r="J348">
        <v>48</v>
      </c>
      <c r="K348">
        <v>20.399999999999999</v>
      </c>
      <c r="L348">
        <v>19</v>
      </c>
      <c r="M348" t="s">
        <v>30</v>
      </c>
      <c r="N348">
        <v>24</v>
      </c>
      <c r="O348">
        <v>160.65</v>
      </c>
      <c r="P348">
        <v>8</v>
      </c>
      <c r="Q348" t="s">
        <v>41</v>
      </c>
      <c r="R348">
        <v>6</v>
      </c>
      <c r="S348" t="s">
        <v>31</v>
      </c>
      <c r="T348">
        <v>8.1999999999999993</v>
      </c>
      <c r="U348" t="s">
        <v>31</v>
      </c>
      <c r="V348" t="s">
        <v>72</v>
      </c>
    </row>
    <row r="349" spans="1:22" x14ac:dyDescent="0.3">
      <c r="A349" t="s">
        <v>498</v>
      </c>
      <c r="B349">
        <v>2025</v>
      </c>
      <c r="C349" t="s">
        <v>74</v>
      </c>
      <c r="D349" t="s">
        <v>81</v>
      </c>
      <c r="E349" t="s">
        <v>82</v>
      </c>
      <c r="F349" t="s">
        <v>64</v>
      </c>
      <c r="G349" t="s">
        <v>55</v>
      </c>
      <c r="H349" t="s">
        <v>28</v>
      </c>
      <c r="I349" t="s">
        <v>71</v>
      </c>
      <c r="J349">
        <v>53</v>
      </c>
      <c r="K349">
        <v>26</v>
      </c>
      <c r="L349">
        <v>-41.5</v>
      </c>
      <c r="M349" t="s">
        <v>50</v>
      </c>
      <c r="N349">
        <v>56</v>
      </c>
      <c r="O349">
        <v>141.11000000000001</v>
      </c>
      <c r="P349">
        <v>7</v>
      </c>
      <c r="Q349" t="s">
        <v>41</v>
      </c>
      <c r="R349">
        <v>6</v>
      </c>
      <c r="S349" t="s">
        <v>28</v>
      </c>
      <c r="T349">
        <v>6.7</v>
      </c>
      <c r="U349" t="s">
        <v>31</v>
      </c>
      <c r="V349" t="s">
        <v>72</v>
      </c>
    </row>
    <row r="350" spans="1:22" x14ac:dyDescent="0.3">
      <c r="A350" t="s">
        <v>499</v>
      </c>
      <c r="B350">
        <v>2026</v>
      </c>
      <c r="C350" t="s">
        <v>129</v>
      </c>
      <c r="D350" t="s">
        <v>85</v>
      </c>
      <c r="E350" t="s">
        <v>25</v>
      </c>
      <c r="F350" t="s">
        <v>60</v>
      </c>
      <c r="G350" t="s">
        <v>55</v>
      </c>
      <c r="H350" t="s">
        <v>28</v>
      </c>
      <c r="I350" t="s">
        <v>149</v>
      </c>
      <c r="J350">
        <v>81</v>
      </c>
      <c r="K350">
        <v>2.2000000000000002</v>
      </c>
      <c r="L350">
        <v>9.9</v>
      </c>
      <c r="M350" t="s">
        <v>50</v>
      </c>
      <c r="N350">
        <v>0</v>
      </c>
      <c r="O350">
        <v>53.54</v>
      </c>
      <c r="P350">
        <v>8</v>
      </c>
      <c r="Q350" t="s">
        <v>28</v>
      </c>
      <c r="R350">
        <v>7</v>
      </c>
      <c r="S350" t="s">
        <v>31</v>
      </c>
      <c r="T350">
        <v>7.6</v>
      </c>
      <c r="U350" t="s">
        <v>31</v>
      </c>
      <c r="V350" t="s">
        <v>32</v>
      </c>
    </row>
    <row r="351" spans="1:22" x14ac:dyDescent="0.3">
      <c r="A351" t="s">
        <v>500</v>
      </c>
      <c r="B351">
        <v>2025</v>
      </c>
      <c r="C351" t="s">
        <v>53</v>
      </c>
      <c r="D351" t="s">
        <v>102</v>
      </c>
      <c r="E351" t="s">
        <v>86</v>
      </c>
      <c r="F351" t="s">
        <v>75</v>
      </c>
      <c r="G351" t="s">
        <v>38</v>
      </c>
      <c r="H351" t="s">
        <v>28</v>
      </c>
      <c r="I351" t="s">
        <v>65</v>
      </c>
      <c r="J351">
        <v>47</v>
      </c>
      <c r="K351">
        <v>11.8</v>
      </c>
      <c r="L351">
        <v>0.9</v>
      </c>
      <c r="M351" t="s">
        <v>30</v>
      </c>
      <c r="N351">
        <v>12</v>
      </c>
      <c r="O351">
        <v>56.78</v>
      </c>
      <c r="P351">
        <v>6</v>
      </c>
      <c r="Q351" t="s">
        <v>39</v>
      </c>
      <c r="R351">
        <v>9</v>
      </c>
      <c r="S351" t="s">
        <v>28</v>
      </c>
      <c r="T351">
        <v>8.6999999999999993</v>
      </c>
      <c r="U351" t="s">
        <v>28</v>
      </c>
      <c r="V351" t="s">
        <v>32</v>
      </c>
    </row>
    <row r="352" spans="1:22" x14ac:dyDescent="0.3">
      <c r="A352" t="s">
        <v>501</v>
      </c>
      <c r="B352">
        <v>2026</v>
      </c>
      <c r="C352" t="s">
        <v>84</v>
      </c>
      <c r="D352" t="s">
        <v>81</v>
      </c>
      <c r="E352" t="s">
        <v>86</v>
      </c>
      <c r="F352" t="s">
        <v>60</v>
      </c>
      <c r="G352" t="s">
        <v>55</v>
      </c>
      <c r="H352" t="s">
        <v>28</v>
      </c>
      <c r="I352" t="s">
        <v>90</v>
      </c>
      <c r="J352">
        <v>56</v>
      </c>
      <c r="K352">
        <v>5.8</v>
      </c>
      <c r="L352">
        <v>26.4</v>
      </c>
      <c r="M352" t="s">
        <v>502</v>
      </c>
      <c r="N352">
        <v>40</v>
      </c>
      <c r="O352">
        <v>54.09</v>
      </c>
      <c r="P352">
        <v>8</v>
      </c>
      <c r="Q352" t="s">
        <v>28</v>
      </c>
      <c r="R352">
        <v>10</v>
      </c>
      <c r="S352" t="s">
        <v>91</v>
      </c>
      <c r="T352">
        <v>6.8</v>
      </c>
      <c r="U352" t="s">
        <v>31</v>
      </c>
      <c r="V352" t="s">
        <v>72</v>
      </c>
    </row>
    <row r="353" spans="1:22" x14ac:dyDescent="0.3">
      <c r="A353" t="s">
        <v>503</v>
      </c>
      <c r="B353">
        <v>2024</v>
      </c>
      <c r="C353" t="s">
        <v>94</v>
      </c>
      <c r="D353" t="s">
        <v>156</v>
      </c>
      <c r="E353" t="s">
        <v>86</v>
      </c>
      <c r="F353" t="s">
        <v>75</v>
      </c>
      <c r="G353" t="s">
        <v>27</v>
      </c>
      <c r="H353" t="s">
        <v>31</v>
      </c>
      <c r="I353" t="s">
        <v>49</v>
      </c>
      <c r="J353">
        <v>26</v>
      </c>
      <c r="K353">
        <v>4.2</v>
      </c>
      <c r="L353">
        <v>-2.2999999999999998</v>
      </c>
      <c r="M353">
        <v>0</v>
      </c>
      <c r="N353">
        <v>2</v>
      </c>
      <c r="O353">
        <v>26.33</v>
      </c>
      <c r="P353">
        <v>6</v>
      </c>
      <c r="Q353" t="s">
        <v>28</v>
      </c>
      <c r="R353">
        <v>4</v>
      </c>
      <c r="S353" t="s">
        <v>41</v>
      </c>
      <c r="T353">
        <v>8.9</v>
      </c>
      <c r="U353" t="s">
        <v>41</v>
      </c>
      <c r="V353" t="s">
        <v>51</v>
      </c>
    </row>
    <row r="354" spans="1:22" x14ac:dyDescent="0.3">
      <c r="A354" t="s">
        <v>504</v>
      </c>
      <c r="B354">
        <v>2025</v>
      </c>
      <c r="C354" t="s">
        <v>217</v>
      </c>
      <c r="D354" t="s">
        <v>59</v>
      </c>
      <c r="E354" t="s">
        <v>86</v>
      </c>
      <c r="F354" t="s">
        <v>54</v>
      </c>
      <c r="G354" t="s">
        <v>45</v>
      </c>
      <c r="H354" t="s">
        <v>41</v>
      </c>
      <c r="I354" t="s">
        <v>90</v>
      </c>
      <c r="J354">
        <v>6</v>
      </c>
      <c r="K354">
        <v>0.3</v>
      </c>
      <c r="L354">
        <v>-0.4</v>
      </c>
      <c r="M354" t="s">
        <v>47</v>
      </c>
      <c r="N354">
        <v>0</v>
      </c>
      <c r="O354">
        <v>13.82</v>
      </c>
      <c r="P354">
        <v>6</v>
      </c>
      <c r="Q354" t="s">
        <v>31</v>
      </c>
      <c r="R354">
        <v>4</v>
      </c>
      <c r="S354" t="s">
        <v>31</v>
      </c>
      <c r="T354">
        <v>5.2</v>
      </c>
      <c r="U354" t="s">
        <v>28</v>
      </c>
      <c r="V354" t="s">
        <v>125</v>
      </c>
    </row>
    <row r="355" spans="1:22" x14ac:dyDescent="0.3">
      <c r="A355" t="s">
        <v>505</v>
      </c>
      <c r="B355">
        <v>2026</v>
      </c>
      <c r="C355" t="s">
        <v>104</v>
      </c>
      <c r="D355" t="s">
        <v>24</v>
      </c>
      <c r="E355" t="s">
        <v>82</v>
      </c>
      <c r="F355" t="s">
        <v>37</v>
      </c>
      <c r="G355" t="s">
        <v>76</v>
      </c>
      <c r="H355" t="s">
        <v>39</v>
      </c>
      <c r="I355" t="s">
        <v>40</v>
      </c>
      <c r="J355">
        <v>63</v>
      </c>
      <c r="K355">
        <v>17.2</v>
      </c>
      <c r="L355">
        <v>22.5</v>
      </c>
      <c r="M355" t="s">
        <v>144</v>
      </c>
      <c r="N355">
        <v>48</v>
      </c>
      <c r="O355">
        <v>289.24</v>
      </c>
      <c r="P355">
        <v>7</v>
      </c>
      <c r="Q355" t="s">
        <v>31</v>
      </c>
      <c r="R355">
        <v>8</v>
      </c>
      <c r="S355" t="s">
        <v>91</v>
      </c>
      <c r="T355">
        <v>3.9</v>
      </c>
      <c r="U355" t="s">
        <v>31</v>
      </c>
      <c r="V355" t="s">
        <v>72</v>
      </c>
    </row>
    <row r="356" spans="1:22" x14ac:dyDescent="0.3">
      <c r="A356" t="s">
        <v>506</v>
      </c>
      <c r="B356">
        <v>2024</v>
      </c>
      <c r="C356" t="s">
        <v>80</v>
      </c>
      <c r="D356" t="s">
        <v>81</v>
      </c>
      <c r="E356" t="s">
        <v>82</v>
      </c>
      <c r="F356" t="s">
        <v>75</v>
      </c>
      <c r="G356">
        <v>0</v>
      </c>
      <c r="H356" t="s">
        <v>31</v>
      </c>
      <c r="I356" t="s">
        <v>65</v>
      </c>
      <c r="J356">
        <v>4</v>
      </c>
      <c r="K356">
        <v>1.1000000000000001</v>
      </c>
      <c r="L356">
        <v>-5.7</v>
      </c>
      <c r="M356" t="s">
        <v>47</v>
      </c>
      <c r="N356">
        <v>6</v>
      </c>
      <c r="O356">
        <v>71.489999999999995</v>
      </c>
      <c r="P356">
        <v>7</v>
      </c>
      <c r="Q356" t="s">
        <v>31</v>
      </c>
      <c r="R356">
        <v>4</v>
      </c>
      <c r="S356" t="s">
        <v>41</v>
      </c>
      <c r="T356">
        <v>9.6</v>
      </c>
      <c r="U356" t="s">
        <v>28</v>
      </c>
      <c r="V356" t="s">
        <v>51</v>
      </c>
    </row>
    <row r="357" spans="1:22" x14ac:dyDescent="0.3">
      <c r="A357" t="s">
        <v>507</v>
      </c>
      <c r="B357">
        <v>2026</v>
      </c>
      <c r="C357" t="s">
        <v>134</v>
      </c>
      <c r="D357" t="s">
        <v>81</v>
      </c>
      <c r="E357" t="s">
        <v>25</v>
      </c>
      <c r="F357" t="s">
        <v>37</v>
      </c>
      <c r="G357" t="s">
        <v>45</v>
      </c>
      <c r="H357" t="s">
        <v>39</v>
      </c>
      <c r="I357" t="s">
        <v>71</v>
      </c>
      <c r="J357">
        <v>106</v>
      </c>
      <c r="K357">
        <v>26</v>
      </c>
      <c r="L357">
        <v>28.6</v>
      </c>
      <c r="M357" t="s">
        <v>50</v>
      </c>
      <c r="N357">
        <v>22</v>
      </c>
      <c r="O357">
        <v>269.54000000000002</v>
      </c>
      <c r="P357">
        <v>9</v>
      </c>
      <c r="Q357" t="s">
        <v>41</v>
      </c>
      <c r="R357">
        <v>4</v>
      </c>
      <c r="S357" t="s">
        <v>28</v>
      </c>
      <c r="T357">
        <v>4.9000000000000004</v>
      </c>
      <c r="U357" t="s">
        <v>39</v>
      </c>
      <c r="V357" t="s">
        <v>72</v>
      </c>
    </row>
    <row r="358" spans="1:22" x14ac:dyDescent="0.3">
      <c r="A358" t="s">
        <v>508</v>
      </c>
      <c r="B358">
        <v>2024</v>
      </c>
      <c r="C358" t="s">
        <v>74</v>
      </c>
      <c r="D358" t="s">
        <v>89</v>
      </c>
      <c r="E358" t="s">
        <v>36</v>
      </c>
      <c r="F358" t="s">
        <v>37</v>
      </c>
      <c r="G358" t="s">
        <v>27</v>
      </c>
      <c r="H358" t="s">
        <v>28</v>
      </c>
      <c r="I358" t="s">
        <v>40</v>
      </c>
      <c r="J358">
        <v>9</v>
      </c>
      <c r="K358">
        <v>6.5</v>
      </c>
      <c r="L358">
        <v>10.4</v>
      </c>
      <c r="M358" t="s">
        <v>30</v>
      </c>
      <c r="N358">
        <v>29</v>
      </c>
      <c r="O358">
        <v>160.72999999999999</v>
      </c>
      <c r="P358">
        <v>7</v>
      </c>
      <c r="Q358" t="s">
        <v>28</v>
      </c>
      <c r="R358">
        <v>5</v>
      </c>
      <c r="S358" t="s">
        <v>31</v>
      </c>
      <c r="T358">
        <v>5.9</v>
      </c>
      <c r="U358" t="s">
        <v>31</v>
      </c>
      <c r="V358" t="s">
        <v>32</v>
      </c>
    </row>
    <row r="359" spans="1:22" x14ac:dyDescent="0.3">
      <c r="A359" t="s">
        <v>509</v>
      </c>
      <c r="B359">
        <v>2024</v>
      </c>
      <c r="C359" t="s">
        <v>74</v>
      </c>
      <c r="D359" t="s">
        <v>510</v>
      </c>
      <c r="E359" t="s">
        <v>86</v>
      </c>
      <c r="F359" t="s">
        <v>98</v>
      </c>
      <c r="G359" t="s">
        <v>27</v>
      </c>
      <c r="H359" t="s">
        <v>41</v>
      </c>
      <c r="I359" t="s">
        <v>71</v>
      </c>
      <c r="J359">
        <v>7</v>
      </c>
      <c r="K359">
        <v>0.6</v>
      </c>
      <c r="L359">
        <v>-9.5</v>
      </c>
      <c r="M359" t="s">
        <v>47</v>
      </c>
      <c r="N359">
        <v>6</v>
      </c>
      <c r="O359">
        <v>32.700000000000003</v>
      </c>
      <c r="P359">
        <v>4</v>
      </c>
      <c r="Q359" t="s">
        <v>31</v>
      </c>
      <c r="R359">
        <v>3</v>
      </c>
      <c r="S359" t="s">
        <v>41</v>
      </c>
      <c r="T359">
        <v>12.2</v>
      </c>
      <c r="U359" t="s">
        <v>41</v>
      </c>
      <c r="V359" t="s">
        <v>125</v>
      </c>
    </row>
    <row r="360" spans="1:22" x14ac:dyDescent="0.3">
      <c r="A360" t="s">
        <v>511</v>
      </c>
      <c r="B360">
        <v>2026</v>
      </c>
      <c r="C360" t="s">
        <v>74</v>
      </c>
      <c r="D360" t="s">
        <v>35</v>
      </c>
      <c r="E360" t="s">
        <v>25</v>
      </c>
      <c r="F360" t="s">
        <v>64</v>
      </c>
      <c r="G360" t="s">
        <v>55</v>
      </c>
      <c r="H360" t="s">
        <v>28</v>
      </c>
      <c r="I360" t="s">
        <v>65</v>
      </c>
      <c r="J360">
        <v>23</v>
      </c>
      <c r="K360">
        <v>4.5</v>
      </c>
      <c r="L360">
        <v>21.7</v>
      </c>
      <c r="M360" t="s">
        <v>50</v>
      </c>
      <c r="N360">
        <v>12</v>
      </c>
      <c r="O360">
        <v>110.09</v>
      </c>
      <c r="P360">
        <v>9</v>
      </c>
      <c r="Q360" t="s">
        <v>31</v>
      </c>
      <c r="R360">
        <v>7</v>
      </c>
      <c r="S360" t="s">
        <v>28</v>
      </c>
      <c r="T360">
        <v>5.0999999999999996</v>
      </c>
      <c r="U360" t="s">
        <v>41</v>
      </c>
      <c r="V360" t="s">
        <v>72</v>
      </c>
    </row>
    <row r="361" spans="1:22" x14ac:dyDescent="0.3">
      <c r="A361" t="s">
        <v>512</v>
      </c>
      <c r="B361">
        <v>2026</v>
      </c>
      <c r="C361" t="s">
        <v>104</v>
      </c>
      <c r="D361" t="s">
        <v>81</v>
      </c>
      <c r="E361" t="s">
        <v>86</v>
      </c>
      <c r="F361" t="s">
        <v>120</v>
      </c>
      <c r="G361" t="s">
        <v>27</v>
      </c>
      <c r="H361" t="s">
        <v>28</v>
      </c>
      <c r="I361" t="s">
        <v>90</v>
      </c>
      <c r="J361">
        <v>27</v>
      </c>
      <c r="K361">
        <v>3.4</v>
      </c>
      <c r="L361">
        <v>21.2</v>
      </c>
      <c r="M361" t="s">
        <v>50</v>
      </c>
      <c r="N361">
        <v>30</v>
      </c>
      <c r="O361">
        <v>48.69</v>
      </c>
      <c r="P361">
        <v>7</v>
      </c>
      <c r="Q361" t="s">
        <v>28</v>
      </c>
      <c r="R361">
        <v>9</v>
      </c>
      <c r="S361" t="s">
        <v>91</v>
      </c>
      <c r="T361">
        <v>2.5</v>
      </c>
      <c r="U361" t="s">
        <v>31</v>
      </c>
      <c r="V361" t="s">
        <v>72</v>
      </c>
    </row>
    <row r="362" spans="1:22" x14ac:dyDescent="0.3">
      <c r="A362" t="s">
        <v>513</v>
      </c>
      <c r="B362">
        <v>2025</v>
      </c>
      <c r="C362" t="s">
        <v>84</v>
      </c>
      <c r="D362" t="s">
        <v>24</v>
      </c>
      <c r="E362" t="s">
        <v>36</v>
      </c>
      <c r="F362" t="s">
        <v>75</v>
      </c>
      <c r="G362" t="s">
        <v>38</v>
      </c>
      <c r="H362" t="s">
        <v>31</v>
      </c>
      <c r="I362" t="s">
        <v>71</v>
      </c>
      <c r="J362">
        <v>21</v>
      </c>
      <c r="K362">
        <v>4.8</v>
      </c>
      <c r="L362">
        <v>-4.7</v>
      </c>
      <c r="M362" t="s">
        <v>30</v>
      </c>
      <c r="N362">
        <v>12</v>
      </c>
      <c r="O362">
        <v>88.21</v>
      </c>
      <c r="P362">
        <v>5</v>
      </c>
      <c r="Q362" t="s">
        <v>39</v>
      </c>
      <c r="R362">
        <v>2</v>
      </c>
      <c r="S362" t="s">
        <v>41</v>
      </c>
      <c r="T362">
        <v>17.2</v>
      </c>
      <c r="U362" t="s">
        <v>31</v>
      </c>
      <c r="V362" t="s">
        <v>125</v>
      </c>
    </row>
    <row r="363" spans="1:22" x14ac:dyDescent="0.3">
      <c r="A363" t="s">
        <v>514</v>
      </c>
      <c r="B363">
        <v>2025</v>
      </c>
      <c r="C363" t="s">
        <v>74</v>
      </c>
      <c r="D363" t="s">
        <v>69</v>
      </c>
      <c r="E363" t="s">
        <v>25</v>
      </c>
      <c r="F363" t="s">
        <v>87</v>
      </c>
      <c r="G363" t="s">
        <v>55</v>
      </c>
      <c r="H363" t="s">
        <v>28</v>
      </c>
      <c r="I363" t="s">
        <v>46</v>
      </c>
      <c r="J363">
        <v>47</v>
      </c>
      <c r="K363">
        <v>4.3</v>
      </c>
      <c r="L363">
        <v>-8.6999999999999993</v>
      </c>
      <c r="M363" t="s">
        <v>50</v>
      </c>
      <c r="N363">
        <v>41</v>
      </c>
      <c r="O363">
        <v>155.01</v>
      </c>
      <c r="P363">
        <v>10</v>
      </c>
      <c r="Q363" t="s">
        <v>39</v>
      </c>
      <c r="R363">
        <v>4</v>
      </c>
      <c r="S363" t="s">
        <v>31</v>
      </c>
      <c r="T363">
        <v>17.3</v>
      </c>
      <c r="U363" t="s">
        <v>41</v>
      </c>
      <c r="V363" t="s">
        <v>125</v>
      </c>
    </row>
    <row r="364" spans="1:22" x14ac:dyDescent="0.3">
      <c r="A364" t="s">
        <v>515</v>
      </c>
      <c r="B364">
        <v>2026</v>
      </c>
      <c r="C364" t="s">
        <v>74</v>
      </c>
      <c r="D364" t="s">
        <v>24</v>
      </c>
      <c r="E364" t="s">
        <v>25</v>
      </c>
      <c r="F364" t="s">
        <v>132</v>
      </c>
      <c r="G364" t="s">
        <v>76</v>
      </c>
      <c r="H364" t="s">
        <v>39</v>
      </c>
      <c r="I364" t="s">
        <v>46</v>
      </c>
      <c r="J364">
        <v>55</v>
      </c>
      <c r="K364">
        <v>4.8</v>
      </c>
      <c r="L364">
        <v>23.2</v>
      </c>
      <c r="M364" t="s">
        <v>50</v>
      </c>
      <c r="N364">
        <v>19</v>
      </c>
      <c r="O364">
        <v>104.42</v>
      </c>
      <c r="P364">
        <v>8</v>
      </c>
      <c r="Q364" t="s">
        <v>31</v>
      </c>
      <c r="R364">
        <v>9</v>
      </c>
      <c r="S364" t="s">
        <v>91</v>
      </c>
      <c r="T364">
        <v>6.7</v>
      </c>
      <c r="U364" t="s">
        <v>31</v>
      </c>
      <c r="V364" t="s">
        <v>32</v>
      </c>
    </row>
    <row r="365" spans="1:22" x14ac:dyDescent="0.3">
      <c r="A365" t="s">
        <v>516</v>
      </c>
      <c r="B365">
        <v>2025</v>
      </c>
      <c r="C365" t="s">
        <v>74</v>
      </c>
      <c r="D365" t="s">
        <v>59</v>
      </c>
      <c r="E365" t="s">
        <v>82</v>
      </c>
      <c r="F365" t="s">
        <v>98</v>
      </c>
      <c r="G365" t="s">
        <v>76</v>
      </c>
      <c r="H365" t="s">
        <v>31</v>
      </c>
      <c r="I365" t="s">
        <v>71</v>
      </c>
      <c r="J365">
        <v>29</v>
      </c>
      <c r="K365">
        <v>17.600000000000001</v>
      </c>
      <c r="L365">
        <v>20.6</v>
      </c>
      <c r="M365" t="s">
        <v>50</v>
      </c>
      <c r="N365">
        <v>24</v>
      </c>
      <c r="O365">
        <v>84.02</v>
      </c>
      <c r="P365">
        <v>6</v>
      </c>
      <c r="Q365" t="s">
        <v>31</v>
      </c>
      <c r="R365">
        <v>4</v>
      </c>
      <c r="S365" t="s">
        <v>28</v>
      </c>
      <c r="T365">
        <v>5.9</v>
      </c>
      <c r="U365" t="s">
        <v>41</v>
      </c>
      <c r="V365" t="s">
        <v>32</v>
      </c>
    </row>
    <row r="366" spans="1:22" x14ac:dyDescent="0.3">
      <c r="A366" t="s">
        <v>517</v>
      </c>
      <c r="B366">
        <v>2025</v>
      </c>
      <c r="C366" t="s">
        <v>104</v>
      </c>
      <c r="D366" t="s">
        <v>59</v>
      </c>
      <c r="E366" t="s">
        <v>86</v>
      </c>
      <c r="F366" t="s">
        <v>132</v>
      </c>
      <c r="G366" t="s">
        <v>76</v>
      </c>
      <c r="H366" t="s">
        <v>28</v>
      </c>
      <c r="I366" t="s">
        <v>65</v>
      </c>
      <c r="J366">
        <v>34</v>
      </c>
      <c r="K366">
        <v>7.8</v>
      </c>
      <c r="L366">
        <v>6.6</v>
      </c>
      <c r="M366" t="s">
        <v>30</v>
      </c>
      <c r="N366">
        <v>0</v>
      </c>
      <c r="O366">
        <v>57.89</v>
      </c>
      <c r="P366">
        <v>7</v>
      </c>
      <c r="Q366" t="s">
        <v>31</v>
      </c>
      <c r="R366">
        <v>5</v>
      </c>
      <c r="S366" t="s">
        <v>31</v>
      </c>
      <c r="T366">
        <v>8.4</v>
      </c>
      <c r="U366" t="s">
        <v>28</v>
      </c>
      <c r="V366" t="s">
        <v>32</v>
      </c>
    </row>
    <row r="367" spans="1:22" x14ac:dyDescent="0.3">
      <c r="A367" t="s">
        <v>518</v>
      </c>
      <c r="B367">
        <v>2025</v>
      </c>
      <c r="C367" t="s">
        <v>34</v>
      </c>
      <c r="D367" t="s">
        <v>519</v>
      </c>
      <c r="E367" t="s">
        <v>86</v>
      </c>
      <c r="F367" t="s">
        <v>520</v>
      </c>
      <c r="G367">
        <v>0</v>
      </c>
      <c r="H367" t="s">
        <v>31</v>
      </c>
      <c r="I367" t="s">
        <v>49</v>
      </c>
      <c r="J367">
        <v>23</v>
      </c>
      <c r="K367">
        <v>3.8</v>
      </c>
      <c r="L367">
        <v>8.5</v>
      </c>
      <c r="M367" t="s">
        <v>30</v>
      </c>
      <c r="N367">
        <v>4</v>
      </c>
      <c r="O367">
        <v>28.85</v>
      </c>
      <c r="P367">
        <v>7</v>
      </c>
      <c r="Q367" t="s">
        <v>31</v>
      </c>
      <c r="R367">
        <v>4</v>
      </c>
      <c r="S367" t="s">
        <v>31</v>
      </c>
      <c r="T367">
        <v>5.6</v>
      </c>
      <c r="U367" t="s">
        <v>28</v>
      </c>
      <c r="V367" t="s">
        <v>51</v>
      </c>
    </row>
    <row r="368" spans="1:22" x14ac:dyDescent="0.3">
      <c r="A368" t="s">
        <v>521</v>
      </c>
      <c r="B368">
        <v>2026</v>
      </c>
      <c r="C368" t="s">
        <v>74</v>
      </c>
      <c r="D368" t="s">
        <v>35</v>
      </c>
      <c r="E368" t="s">
        <v>36</v>
      </c>
      <c r="F368" t="s">
        <v>87</v>
      </c>
      <c r="G368" t="s">
        <v>27</v>
      </c>
      <c r="H368" t="s">
        <v>41</v>
      </c>
      <c r="I368" t="s">
        <v>65</v>
      </c>
      <c r="J368">
        <v>6</v>
      </c>
      <c r="K368">
        <v>1.9</v>
      </c>
      <c r="L368">
        <v>-0.1</v>
      </c>
      <c r="M368" t="s">
        <v>30</v>
      </c>
      <c r="N368">
        <v>42</v>
      </c>
      <c r="O368">
        <v>25.32</v>
      </c>
      <c r="P368">
        <v>6</v>
      </c>
      <c r="Q368" t="s">
        <v>41</v>
      </c>
      <c r="R368">
        <v>7</v>
      </c>
      <c r="S368" t="s">
        <v>31</v>
      </c>
      <c r="T368">
        <v>5.9</v>
      </c>
      <c r="U368" t="s">
        <v>41</v>
      </c>
      <c r="V368" t="s">
        <v>32</v>
      </c>
    </row>
    <row r="369" spans="1:22" x14ac:dyDescent="0.3">
      <c r="A369" t="s">
        <v>522</v>
      </c>
      <c r="B369">
        <v>2024</v>
      </c>
      <c r="C369" t="s">
        <v>74</v>
      </c>
      <c r="D369" t="s">
        <v>85</v>
      </c>
      <c r="E369" t="s">
        <v>25</v>
      </c>
      <c r="F369" t="s">
        <v>132</v>
      </c>
      <c r="G369" t="s">
        <v>27</v>
      </c>
      <c r="H369" t="s">
        <v>28</v>
      </c>
      <c r="I369" t="s">
        <v>65</v>
      </c>
      <c r="J369">
        <v>13</v>
      </c>
      <c r="K369">
        <v>2</v>
      </c>
      <c r="L369">
        <v>-4.5</v>
      </c>
      <c r="M369" t="s">
        <v>30</v>
      </c>
      <c r="N369">
        <v>18</v>
      </c>
      <c r="O369">
        <v>112.25</v>
      </c>
      <c r="P369">
        <v>4</v>
      </c>
      <c r="Q369" t="s">
        <v>39</v>
      </c>
      <c r="R369">
        <v>5</v>
      </c>
      <c r="S369" t="s">
        <v>31</v>
      </c>
      <c r="T369">
        <v>14.9</v>
      </c>
      <c r="U369" t="s">
        <v>39</v>
      </c>
      <c r="V369" t="s">
        <v>125</v>
      </c>
    </row>
    <row r="370" spans="1:22" x14ac:dyDescent="0.3">
      <c r="A370" t="s">
        <v>523</v>
      </c>
      <c r="B370">
        <v>2025</v>
      </c>
      <c r="C370" t="s">
        <v>524</v>
      </c>
      <c r="D370" t="s">
        <v>69</v>
      </c>
      <c r="E370" t="s">
        <v>86</v>
      </c>
      <c r="F370" t="s">
        <v>26</v>
      </c>
      <c r="G370" t="s">
        <v>45</v>
      </c>
      <c r="H370" t="s">
        <v>31</v>
      </c>
      <c r="I370" t="s">
        <v>49</v>
      </c>
      <c r="J370">
        <v>16</v>
      </c>
      <c r="K370">
        <v>2.2000000000000002</v>
      </c>
      <c r="L370">
        <v>0.9</v>
      </c>
      <c r="M370" t="s">
        <v>47</v>
      </c>
      <c r="N370">
        <v>5</v>
      </c>
      <c r="O370">
        <v>25.42</v>
      </c>
      <c r="P370">
        <v>5</v>
      </c>
      <c r="Q370" t="s">
        <v>28</v>
      </c>
      <c r="R370">
        <v>7</v>
      </c>
      <c r="S370" t="s">
        <v>41</v>
      </c>
      <c r="T370">
        <v>12.4</v>
      </c>
      <c r="U370" t="s">
        <v>31</v>
      </c>
      <c r="V370" t="s">
        <v>32</v>
      </c>
    </row>
    <row r="371" spans="1:22" x14ac:dyDescent="0.3">
      <c r="A371" t="s">
        <v>525</v>
      </c>
      <c r="B371">
        <v>2024</v>
      </c>
      <c r="C371" t="s">
        <v>53</v>
      </c>
      <c r="D371" t="s">
        <v>69</v>
      </c>
      <c r="E371" t="s">
        <v>36</v>
      </c>
      <c r="F371" t="s">
        <v>60</v>
      </c>
      <c r="G371" t="s">
        <v>55</v>
      </c>
      <c r="H371" t="s">
        <v>41</v>
      </c>
      <c r="I371" t="s">
        <v>61</v>
      </c>
      <c r="J371">
        <v>5</v>
      </c>
      <c r="K371">
        <v>0.5</v>
      </c>
      <c r="L371">
        <v>4</v>
      </c>
      <c r="M371" t="s">
        <v>47</v>
      </c>
      <c r="N371">
        <v>0</v>
      </c>
      <c r="O371">
        <v>9.3000000000000007</v>
      </c>
      <c r="P371">
        <v>2</v>
      </c>
      <c r="Q371" t="s">
        <v>28</v>
      </c>
      <c r="R371">
        <v>4</v>
      </c>
      <c r="S371" t="s">
        <v>31</v>
      </c>
      <c r="T371">
        <v>8.1999999999999993</v>
      </c>
      <c r="U371" t="s">
        <v>31</v>
      </c>
      <c r="V371" t="s">
        <v>51</v>
      </c>
    </row>
    <row r="372" spans="1:22" x14ac:dyDescent="0.3">
      <c r="A372" t="s">
        <v>526</v>
      </c>
      <c r="B372">
        <v>2026</v>
      </c>
      <c r="C372" t="s">
        <v>74</v>
      </c>
      <c r="D372" t="s">
        <v>156</v>
      </c>
      <c r="E372" t="s">
        <v>82</v>
      </c>
      <c r="F372" t="s">
        <v>132</v>
      </c>
      <c r="G372" t="s">
        <v>45</v>
      </c>
      <c r="H372" t="s">
        <v>39</v>
      </c>
      <c r="I372" t="s">
        <v>71</v>
      </c>
      <c r="J372">
        <v>38</v>
      </c>
      <c r="K372">
        <v>5</v>
      </c>
      <c r="L372">
        <v>35.1</v>
      </c>
      <c r="M372" t="s">
        <v>144</v>
      </c>
      <c r="N372">
        <v>58</v>
      </c>
      <c r="O372">
        <v>164.75</v>
      </c>
      <c r="P372">
        <v>10</v>
      </c>
      <c r="Q372" t="s">
        <v>28</v>
      </c>
      <c r="R372">
        <v>8</v>
      </c>
      <c r="S372" t="s">
        <v>91</v>
      </c>
      <c r="T372">
        <v>5.5</v>
      </c>
      <c r="U372" t="s">
        <v>41</v>
      </c>
      <c r="V372" t="s">
        <v>72</v>
      </c>
    </row>
    <row r="373" spans="1:22" x14ac:dyDescent="0.3">
      <c r="A373" t="s">
        <v>527</v>
      </c>
      <c r="B373">
        <v>2024</v>
      </c>
      <c r="C373" t="s">
        <v>74</v>
      </c>
      <c r="D373" t="s">
        <v>81</v>
      </c>
      <c r="E373" t="s">
        <v>82</v>
      </c>
      <c r="F373" t="s">
        <v>60</v>
      </c>
      <c r="G373" t="s">
        <v>76</v>
      </c>
      <c r="H373" t="s">
        <v>31</v>
      </c>
      <c r="I373" t="s">
        <v>61</v>
      </c>
      <c r="J373">
        <v>15</v>
      </c>
      <c r="K373">
        <v>2.9</v>
      </c>
      <c r="L373">
        <v>5.8</v>
      </c>
      <c r="M373" t="s">
        <v>30</v>
      </c>
      <c r="N373">
        <v>20</v>
      </c>
      <c r="O373">
        <v>32.5</v>
      </c>
      <c r="P373">
        <v>6</v>
      </c>
      <c r="Q373" t="s">
        <v>31</v>
      </c>
      <c r="R373">
        <v>5</v>
      </c>
      <c r="S373" t="s">
        <v>41</v>
      </c>
      <c r="T373">
        <v>11.5</v>
      </c>
      <c r="U373" t="s">
        <v>31</v>
      </c>
      <c r="V373" t="s">
        <v>51</v>
      </c>
    </row>
    <row r="374" spans="1:22" x14ac:dyDescent="0.3">
      <c r="A374" t="s">
        <v>528</v>
      </c>
      <c r="B374">
        <v>2025</v>
      </c>
      <c r="C374" t="s">
        <v>53</v>
      </c>
      <c r="D374" t="s">
        <v>156</v>
      </c>
      <c r="E374" t="s">
        <v>82</v>
      </c>
      <c r="F374" t="s">
        <v>60</v>
      </c>
      <c r="G374" t="s">
        <v>76</v>
      </c>
      <c r="H374" t="s">
        <v>31</v>
      </c>
      <c r="I374" t="s">
        <v>61</v>
      </c>
      <c r="J374">
        <v>21</v>
      </c>
      <c r="K374">
        <v>2.7</v>
      </c>
      <c r="L374">
        <v>3.5</v>
      </c>
      <c r="M374" t="s">
        <v>47</v>
      </c>
      <c r="N374">
        <v>7</v>
      </c>
      <c r="O374">
        <v>31.05</v>
      </c>
      <c r="P374">
        <v>6</v>
      </c>
      <c r="Q374" t="s">
        <v>28</v>
      </c>
      <c r="R374">
        <v>6</v>
      </c>
      <c r="S374" t="s">
        <v>31</v>
      </c>
      <c r="T374">
        <v>7.1</v>
      </c>
      <c r="U374" t="s">
        <v>31</v>
      </c>
      <c r="V374" t="s">
        <v>32</v>
      </c>
    </row>
    <row r="375" spans="1:22" x14ac:dyDescent="0.3">
      <c r="A375" t="s">
        <v>529</v>
      </c>
      <c r="B375">
        <v>2024</v>
      </c>
      <c r="C375" t="s">
        <v>104</v>
      </c>
      <c r="D375" t="s">
        <v>89</v>
      </c>
      <c r="E375" t="s">
        <v>25</v>
      </c>
      <c r="F375" t="s">
        <v>60</v>
      </c>
      <c r="G375" t="s">
        <v>27</v>
      </c>
      <c r="H375" t="s">
        <v>28</v>
      </c>
      <c r="I375" t="s">
        <v>90</v>
      </c>
      <c r="J375">
        <v>45</v>
      </c>
      <c r="K375">
        <v>8.8000000000000007</v>
      </c>
      <c r="L375">
        <v>-16.2</v>
      </c>
      <c r="M375" t="s">
        <v>47</v>
      </c>
      <c r="N375">
        <v>11</v>
      </c>
      <c r="O375">
        <v>86.69</v>
      </c>
      <c r="P375">
        <v>5</v>
      </c>
      <c r="Q375" t="s">
        <v>28</v>
      </c>
      <c r="R375">
        <v>2</v>
      </c>
      <c r="S375" t="s">
        <v>41</v>
      </c>
      <c r="T375">
        <v>12.3</v>
      </c>
      <c r="U375" t="s">
        <v>41</v>
      </c>
      <c r="V375" t="s">
        <v>125</v>
      </c>
    </row>
    <row r="376" spans="1:22" x14ac:dyDescent="0.3">
      <c r="A376" t="s">
        <v>530</v>
      </c>
      <c r="B376">
        <v>2025</v>
      </c>
      <c r="C376" t="s">
        <v>117</v>
      </c>
      <c r="D376" t="s">
        <v>156</v>
      </c>
      <c r="E376" t="s">
        <v>82</v>
      </c>
      <c r="F376" t="s">
        <v>105</v>
      </c>
      <c r="G376" t="s">
        <v>55</v>
      </c>
      <c r="H376" t="s">
        <v>31</v>
      </c>
      <c r="I376" t="s">
        <v>49</v>
      </c>
      <c r="J376">
        <v>13</v>
      </c>
      <c r="K376">
        <v>4.7</v>
      </c>
      <c r="L376">
        <v>18.899999999999999</v>
      </c>
      <c r="M376" t="s">
        <v>144</v>
      </c>
      <c r="N376">
        <v>32</v>
      </c>
      <c r="O376">
        <v>30.15</v>
      </c>
      <c r="P376">
        <v>10</v>
      </c>
      <c r="Q376" t="s">
        <v>28</v>
      </c>
      <c r="R376">
        <v>6</v>
      </c>
      <c r="S376" t="s">
        <v>28</v>
      </c>
      <c r="T376">
        <v>8.9</v>
      </c>
      <c r="U376" t="s">
        <v>41</v>
      </c>
      <c r="V376" t="s">
        <v>72</v>
      </c>
    </row>
    <row r="377" spans="1:22" x14ac:dyDescent="0.3">
      <c r="A377" t="s">
        <v>531</v>
      </c>
      <c r="B377">
        <v>2026</v>
      </c>
      <c r="C377" t="s">
        <v>94</v>
      </c>
      <c r="D377" t="s">
        <v>59</v>
      </c>
      <c r="E377" t="s">
        <v>36</v>
      </c>
      <c r="F377" t="s">
        <v>44</v>
      </c>
      <c r="G377" t="s">
        <v>55</v>
      </c>
      <c r="H377" t="s">
        <v>39</v>
      </c>
      <c r="I377" t="s">
        <v>49</v>
      </c>
      <c r="J377">
        <v>53</v>
      </c>
      <c r="K377">
        <v>23.2</v>
      </c>
      <c r="L377">
        <v>35.6</v>
      </c>
      <c r="M377" t="s">
        <v>50</v>
      </c>
      <c r="N377">
        <v>31</v>
      </c>
      <c r="O377">
        <v>31.42</v>
      </c>
      <c r="P377">
        <v>10</v>
      </c>
      <c r="Q377" t="s">
        <v>31</v>
      </c>
      <c r="R377">
        <v>8</v>
      </c>
      <c r="S377" t="s">
        <v>91</v>
      </c>
      <c r="T377">
        <v>11.3</v>
      </c>
      <c r="U377" t="s">
        <v>28</v>
      </c>
      <c r="V377" t="s">
        <v>72</v>
      </c>
    </row>
    <row r="378" spans="1:22" x14ac:dyDescent="0.3">
      <c r="A378" t="s">
        <v>532</v>
      </c>
      <c r="B378">
        <v>2026</v>
      </c>
      <c r="C378" t="s">
        <v>134</v>
      </c>
      <c r="D378" t="s">
        <v>89</v>
      </c>
      <c r="E378" t="s">
        <v>25</v>
      </c>
      <c r="F378" t="s">
        <v>75</v>
      </c>
      <c r="G378" t="s">
        <v>55</v>
      </c>
      <c r="H378" t="s">
        <v>28</v>
      </c>
      <c r="I378" t="s">
        <v>71</v>
      </c>
      <c r="J378">
        <v>95</v>
      </c>
      <c r="K378">
        <v>23</v>
      </c>
      <c r="L378">
        <v>36.5</v>
      </c>
      <c r="M378" t="s">
        <v>50</v>
      </c>
      <c r="N378">
        <v>10</v>
      </c>
      <c r="O378">
        <v>480.93</v>
      </c>
      <c r="P378">
        <v>10</v>
      </c>
      <c r="Q378" t="s">
        <v>41</v>
      </c>
      <c r="R378">
        <v>6</v>
      </c>
      <c r="S378" t="s">
        <v>28</v>
      </c>
      <c r="T378">
        <v>15.1</v>
      </c>
      <c r="U378" t="s">
        <v>39</v>
      </c>
      <c r="V378" t="s">
        <v>72</v>
      </c>
    </row>
    <row r="379" spans="1:22" x14ac:dyDescent="0.3">
      <c r="A379" t="s">
        <v>533</v>
      </c>
      <c r="B379">
        <v>2025</v>
      </c>
      <c r="C379" t="s">
        <v>80</v>
      </c>
      <c r="D379" t="s">
        <v>81</v>
      </c>
      <c r="E379" t="s">
        <v>36</v>
      </c>
      <c r="F379" t="s">
        <v>60</v>
      </c>
      <c r="G379" t="s">
        <v>27</v>
      </c>
      <c r="H379" t="s">
        <v>31</v>
      </c>
      <c r="I379" t="s">
        <v>61</v>
      </c>
      <c r="J379">
        <v>13</v>
      </c>
      <c r="K379">
        <v>1.7</v>
      </c>
      <c r="L379">
        <v>11.1</v>
      </c>
      <c r="M379" t="s">
        <v>47</v>
      </c>
      <c r="N379">
        <v>5</v>
      </c>
      <c r="O379">
        <v>46.54</v>
      </c>
      <c r="P379">
        <v>0</v>
      </c>
      <c r="Q379" t="s">
        <v>28</v>
      </c>
      <c r="R379">
        <v>5</v>
      </c>
      <c r="S379" t="s">
        <v>31</v>
      </c>
      <c r="T379">
        <v>6.1</v>
      </c>
      <c r="U379" t="s">
        <v>39</v>
      </c>
      <c r="V379" t="s">
        <v>125</v>
      </c>
    </row>
    <row r="380" spans="1:22" x14ac:dyDescent="0.3">
      <c r="A380" t="s">
        <v>534</v>
      </c>
      <c r="B380">
        <v>2024</v>
      </c>
      <c r="C380" t="s">
        <v>134</v>
      </c>
      <c r="D380" t="s">
        <v>81</v>
      </c>
      <c r="E380" t="s">
        <v>86</v>
      </c>
      <c r="F380" t="s">
        <v>60</v>
      </c>
      <c r="G380" t="s">
        <v>27</v>
      </c>
      <c r="H380" t="s">
        <v>28</v>
      </c>
      <c r="I380" t="s">
        <v>61</v>
      </c>
      <c r="J380">
        <v>37</v>
      </c>
      <c r="K380">
        <v>5.5</v>
      </c>
      <c r="L380">
        <v>13</v>
      </c>
      <c r="M380" t="s">
        <v>30</v>
      </c>
      <c r="N380">
        <v>3</v>
      </c>
      <c r="O380">
        <v>147.12</v>
      </c>
      <c r="P380">
        <v>3</v>
      </c>
      <c r="Q380" t="s">
        <v>28</v>
      </c>
      <c r="R380">
        <v>4</v>
      </c>
      <c r="S380" t="s">
        <v>31</v>
      </c>
      <c r="T380">
        <v>14.6</v>
      </c>
      <c r="U380" t="s">
        <v>39</v>
      </c>
      <c r="V380" t="s">
        <v>51</v>
      </c>
    </row>
    <row r="381" spans="1:22" x14ac:dyDescent="0.3">
      <c r="A381" t="s">
        <v>535</v>
      </c>
      <c r="B381">
        <v>2026</v>
      </c>
      <c r="C381" t="s">
        <v>53</v>
      </c>
      <c r="D381" t="s">
        <v>81</v>
      </c>
      <c r="E381" t="s">
        <v>82</v>
      </c>
      <c r="F381" t="s">
        <v>87</v>
      </c>
      <c r="G381" t="s">
        <v>55</v>
      </c>
      <c r="H381" t="s">
        <v>39</v>
      </c>
      <c r="I381" t="s">
        <v>71</v>
      </c>
      <c r="J381">
        <v>75</v>
      </c>
      <c r="K381">
        <v>12.9</v>
      </c>
      <c r="L381">
        <v>7.2</v>
      </c>
      <c r="M381" t="s">
        <v>30</v>
      </c>
      <c r="N381">
        <v>17</v>
      </c>
      <c r="O381">
        <v>199.73</v>
      </c>
      <c r="P381">
        <v>7</v>
      </c>
      <c r="Q381" t="s">
        <v>28</v>
      </c>
      <c r="R381">
        <v>8</v>
      </c>
      <c r="S381" t="s">
        <v>91</v>
      </c>
      <c r="T381">
        <v>9.9</v>
      </c>
      <c r="U381" t="s">
        <v>31</v>
      </c>
      <c r="V381" t="s">
        <v>32</v>
      </c>
    </row>
    <row r="382" spans="1:22" x14ac:dyDescent="0.3">
      <c r="A382" t="s">
        <v>536</v>
      </c>
      <c r="B382">
        <v>2026</v>
      </c>
      <c r="C382" t="s">
        <v>129</v>
      </c>
      <c r="D382" t="s">
        <v>43</v>
      </c>
      <c r="E382" t="s">
        <v>36</v>
      </c>
      <c r="F382" t="s">
        <v>132</v>
      </c>
      <c r="G382" t="s">
        <v>55</v>
      </c>
      <c r="H382" t="s">
        <v>28</v>
      </c>
      <c r="I382" t="s">
        <v>46</v>
      </c>
      <c r="J382">
        <v>38</v>
      </c>
      <c r="K382">
        <v>6.8</v>
      </c>
      <c r="L382">
        <v>128.30000000000001</v>
      </c>
      <c r="M382" t="s">
        <v>50</v>
      </c>
      <c r="N382">
        <v>38</v>
      </c>
      <c r="O382">
        <v>66.430000000000007</v>
      </c>
      <c r="P382">
        <v>9</v>
      </c>
      <c r="Q382" t="s">
        <v>39</v>
      </c>
      <c r="R382">
        <v>5</v>
      </c>
      <c r="S382" t="s">
        <v>28</v>
      </c>
      <c r="T382">
        <v>8.8000000000000007</v>
      </c>
      <c r="U382" t="s">
        <v>31</v>
      </c>
      <c r="V382" t="s">
        <v>32</v>
      </c>
    </row>
    <row r="383" spans="1:22" x14ac:dyDescent="0.3">
      <c r="A383" t="s">
        <v>537</v>
      </c>
      <c r="B383">
        <v>2025</v>
      </c>
      <c r="C383" t="s">
        <v>74</v>
      </c>
      <c r="D383" t="s">
        <v>24</v>
      </c>
      <c r="E383" t="s">
        <v>36</v>
      </c>
      <c r="F383" t="s">
        <v>26</v>
      </c>
      <c r="G383" t="s">
        <v>27</v>
      </c>
      <c r="H383" t="s">
        <v>31</v>
      </c>
      <c r="I383" t="s">
        <v>65</v>
      </c>
      <c r="J383">
        <v>27</v>
      </c>
      <c r="K383">
        <v>2.9</v>
      </c>
      <c r="L383">
        <v>3.7</v>
      </c>
      <c r="M383" t="s">
        <v>50</v>
      </c>
      <c r="N383">
        <v>20</v>
      </c>
      <c r="O383">
        <v>46.22</v>
      </c>
      <c r="P383">
        <v>8</v>
      </c>
      <c r="Q383" t="s">
        <v>31</v>
      </c>
      <c r="R383">
        <v>5</v>
      </c>
      <c r="S383" t="s">
        <v>31</v>
      </c>
      <c r="T383">
        <v>7</v>
      </c>
      <c r="U383" t="s">
        <v>41</v>
      </c>
      <c r="V383" t="s">
        <v>32</v>
      </c>
    </row>
    <row r="384" spans="1:22" x14ac:dyDescent="0.3">
      <c r="A384" t="s">
        <v>538</v>
      </c>
      <c r="B384">
        <v>2025</v>
      </c>
      <c r="C384" t="s">
        <v>217</v>
      </c>
      <c r="D384" t="s">
        <v>81</v>
      </c>
      <c r="E384" t="s">
        <v>25</v>
      </c>
      <c r="F384" t="s">
        <v>132</v>
      </c>
      <c r="G384" t="s">
        <v>27</v>
      </c>
      <c r="H384" t="s">
        <v>31</v>
      </c>
      <c r="I384" t="s">
        <v>46</v>
      </c>
      <c r="J384">
        <v>35</v>
      </c>
      <c r="K384">
        <v>7</v>
      </c>
      <c r="L384">
        <v>12.3</v>
      </c>
      <c r="M384" t="s">
        <v>47</v>
      </c>
      <c r="N384">
        <v>11</v>
      </c>
      <c r="O384">
        <v>25.66</v>
      </c>
      <c r="P384">
        <v>3</v>
      </c>
      <c r="Q384" t="s">
        <v>31</v>
      </c>
      <c r="R384">
        <v>4</v>
      </c>
      <c r="S384" t="s">
        <v>41</v>
      </c>
      <c r="T384">
        <v>14.9</v>
      </c>
      <c r="U384" t="s">
        <v>28</v>
      </c>
      <c r="V384" t="s">
        <v>32</v>
      </c>
    </row>
    <row r="385" spans="1:22" x14ac:dyDescent="0.3">
      <c r="A385" t="s">
        <v>539</v>
      </c>
      <c r="B385">
        <v>2026</v>
      </c>
      <c r="C385" t="s">
        <v>34</v>
      </c>
      <c r="D385" t="s">
        <v>85</v>
      </c>
      <c r="E385" t="s">
        <v>82</v>
      </c>
      <c r="F385" t="s">
        <v>37</v>
      </c>
      <c r="G385" t="s">
        <v>76</v>
      </c>
      <c r="H385" t="s">
        <v>41</v>
      </c>
      <c r="I385" t="s">
        <v>40</v>
      </c>
      <c r="J385">
        <v>7</v>
      </c>
      <c r="K385">
        <v>2.1</v>
      </c>
      <c r="L385">
        <v>-3.2</v>
      </c>
      <c r="M385" t="s">
        <v>30</v>
      </c>
      <c r="N385">
        <v>20</v>
      </c>
      <c r="O385">
        <v>32.47</v>
      </c>
      <c r="P385">
        <v>5</v>
      </c>
      <c r="Q385" t="s">
        <v>31</v>
      </c>
      <c r="R385">
        <v>0</v>
      </c>
      <c r="S385" t="s">
        <v>31</v>
      </c>
      <c r="T385">
        <v>5.4</v>
      </c>
      <c r="U385" t="s">
        <v>39</v>
      </c>
      <c r="V385" t="s">
        <v>51</v>
      </c>
    </row>
    <row r="386" spans="1:22" x14ac:dyDescent="0.3">
      <c r="A386" t="s">
        <v>540</v>
      </c>
      <c r="B386">
        <v>2025</v>
      </c>
      <c r="C386" t="s">
        <v>74</v>
      </c>
      <c r="D386" t="s">
        <v>24</v>
      </c>
      <c r="E386" t="s">
        <v>36</v>
      </c>
      <c r="F386" t="s">
        <v>113</v>
      </c>
      <c r="G386" t="s">
        <v>55</v>
      </c>
      <c r="H386" t="s">
        <v>41</v>
      </c>
      <c r="I386" t="s">
        <v>46</v>
      </c>
      <c r="J386">
        <v>8</v>
      </c>
      <c r="K386">
        <v>0.8</v>
      </c>
      <c r="L386">
        <v>-3.9</v>
      </c>
      <c r="M386" t="s">
        <v>47</v>
      </c>
      <c r="N386">
        <v>9</v>
      </c>
      <c r="O386">
        <v>22.74</v>
      </c>
      <c r="P386">
        <v>4</v>
      </c>
      <c r="Q386" t="s">
        <v>39</v>
      </c>
      <c r="R386">
        <v>4</v>
      </c>
      <c r="S386" t="s">
        <v>41</v>
      </c>
      <c r="T386">
        <v>10.9</v>
      </c>
      <c r="U386" t="s">
        <v>41</v>
      </c>
      <c r="V386" t="s">
        <v>51</v>
      </c>
    </row>
    <row r="387" spans="1:22" x14ac:dyDescent="0.3">
      <c r="A387" t="s">
        <v>541</v>
      </c>
      <c r="B387">
        <v>2024</v>
      </c>
      <c r="C387" t="s">
        <v>74</v>
      </c>
      <c r="D387" t="s">
        <v>24</v>
      </c>
      <c r="E387" t="s">
        <v>82</v>
      </c>
      <c r="F387" t="s">
        <v>132</v>
      </c>
      <c r="G387" t="s">
        <v>27</v>
      </c>
      <c r="H387" t="s">
        <v>31</v>
      </c>
      <c r="I387" t="s">
        <v>40</v>
      </c>
      <c r="J387">
        <v>23</v>
      </c>
      <c r="K387">
        <v>5.2</v>
      </c>
      <c r="L387">
        <v>5</v>
      </c>
      <c r="M387" t="s">
        <v>30</v>
      </c>
      <c r="N387">
        <v>7</v>
      </c>
      <c r="O387">
        <v>78.31</v>
      </c>
      <c r="P387">
        <v>5</v>
      </c>
      <c r="Q387" t="s">
        <v>28</v>
      </c>
      <c r="R387">
        <v>6</v>
      </c>
      <c r="S387" t="s">
        <v>31</v>
      </c>
      <c r="T387">
        <v>4</v>
      </c>
      <c r="U387" t="s">
        <v>41</v>
      </c>
      <c r="V387" t="s">
        <v>32</v>
      </c>
    </row>
    <row r="388" spans="1:22" x14ac:dyDescent="0.3">
      <c r="A388" t="s">
        <v>542</v>
      </c>
      <c r="B388">
        <v>2024</v>
      </c>
      <c r="C388" t="s">
        <v>217</v>
      </c>
      <c r="D388" t="s">
        <v>24</v>
      </c>
      <c r="E388" t="s">
        <v>36</v>
      </c>
      <c r="F388" t="s">
        <v>87</v>
      </c>
      <c r="G388" t="s">
        <v>27</v>
      </c>
      <c r="H388" t="s">
        <v>41</v>
      </c>
      <c r="I388" t="s">
        <v>46</v>
      </c>
      <c r="J388">
        <v>22</v>
      </c>
      <c r="K388">
        <v>2.6</v>
      </c>
      <c r="L388">
        <v>9.9</v>
      </c>
      <c r="M388" t="s">
        <v>30</v>
      </c>
      <c r="N388">
        <v>6</v>
      </c>
      <c r="O388">
        <v>23.64</v>
      </c>
      <c r="P388">
        <v>4</v>
      </c>
      <c r="Q388" t="s">
        <v>28</v>
      </c>
      <c r="R388">
        <v>4</v>
      </c>
      <c r="S388" t="s">
        <v>31</v>
      </c>
      <c r="T388">
        <v>6.2</v>
      </c>
      <c r="U388" t="s">
        <v>41</v>
      </c>
      <c r="V388" t="s">
        <v>51</v>
      </c>
    </row>
    <row r="389" spans="1:22" x14ac:dyDescent="0.3">
      <c r="A389" t="s">
        <v>543</v>
      </c>
      <c r="B389">
        <v>2025</v>
      </c>
      <c r="C389" t="s">
        <v>134</v>
      </c>
      <c r="D389" t="s">
        <v>81</v>
      </c>
      <c r="E389" t="s">
        <v>86</v>
      </c>
      <c r="F389" t="s">
        <v>132</v>
      </c>
      <c r="G389" t="s">
        <v>38</v>
      </c>
      <c r="H389" t="s">
        <v>28</v>
      </c>
      <c r="I389" t="s">
        <v>71</v>
      </c>
      <c r="J389">
        <v>57</v>
      </c>
      <c r="K389">
        <v>3.6</v>
      </c>
      <c r="L389">
        <v>3.5</v>
      </c>
      <c r="M389" t="s">
        <v>30</v>
      </c>
      <c r="N389">
        <v>16</v>
      </c>
      <c r="O389">
        <v>57.4</v>
      </c>
      <c r="P389">
        <v>5</v>
      </c>
      <c r="Q389" t="s">
        <v>28</v>
      </c>
      <c r="R389">
        <v>5</v>
      </c>
      <c r="S389" t="s">
        <v>31</v>
      </c>
      <c r="T389">
        <v>9</v>
      </c>
      <c r="U389" t="s">
        <v>31</v>
      </c>
      <c r="V389" t="s">
        <v>51</v>
      </c>
    </row>
    <row r="390" spans="1:22" x14ac:dyDescent="0.3">
      <c r="A390" t="s">
        <v>544</v>
      </c>
      <c r="B390">
        <v>2024</v>
      </c>
      <c r="C390" t="s">
        <v>74</v>
      </c>
      <c r="D390" t="s">
        <v>102</v>
      </c>
      <c r="E390" t="s">
        <v>36</v>
      </c>
      <c r="F390" t="s">
        <v>120</v>
      </c>
      <c r="G390" t="s">
        <v>27</v>
      </c>
      <c r="H390" t="s">
        <v>41</v>
      </c>
      <c r="I390" t="s">
        <v>56</v>
      </c>
      <c r="J390">
        <v>7</v>
      </c>
      <c r="K390">
        <v>1.2</v>
      </c>
      <c r="L390">
        <v>-6.9</v>
      </c>
      <c r="M390" t="s">
        <v>47</v>
      </c>
      <c r="N390">
        <v>26</v>
      </c>
      <c r="O390">
        <v>10.61</v>
      </c>
      <c r="P390">
        <v>6</v>
      </c>
      <c r="Q390" t="s">
        <v>28</v>
      </c>
      <c r="R390">
        <v>5</v>
      </c>
      <c r="S390" t="s">
        <v>41</v>
      </c>
      <c r="T390">
        <v>6.2</v>
      </c>
      <c r="U390" t="s">
        <v>31</v>
      </c>
      <c r="V390" t="s">
        <v>32</v>
      </c>
    </row>
    <row r="391" spans="1:22" x14ac:dyDescent="0.3">
      <c r="A391" t="s">
        <v>545</v>
      </c>
      <c r="B391">
        <v>2026</v>
      </c>
      <c r="C391" t="s">
        <v>94</v>
      </c>
      <c r="D391" t="s">
        <v>69</v>
      </c>
      <c r="E391" t="s">
        <v>25</v>
      </c>
      <c r="F391" t="s">
        <v>60</v>
      </c>
      <c r="G391" t="s">
        <v>27</v>
      </c>
      <c r="H391" t="s">
        <v>28</v>
      </c>
      <c r="I391" t="s">
        <v>61</v>
      </c>
      <c r="J391">
        <v>51</v>
      </c>
      <c r="K391">
        <v>3.2</v>
      </c>
      <c r="L391">
        <v>-5.0999999999999996</v>
      </c>
      <c r="M391" t="s">
        <v>400</v>
      </c>
      <c r="N391">
        <v>0</v>
      </c>
      <c r="O391">
        <v>65.02</v>
      </c>
      <c r="P391">
        <v>4</v>
      </c>
      <c r="Q391" t="s">
        <v>39</v>
      </c>
      <c r="R391">
        <v>5</v>
      </c>
      <c r="S391" t="s">
        <v>31</v>
      </c>
      <c r="T391">
        <v>10.4</v>
      </c>
      <c r="U391" t="s">
        <v>31</v>
      </c>
      <c r="V391" t="s">
        <v>51</v>
      </c>
    </row>
    <row r="392" spans="1:22" x14ac:dyDescent="0.3">
      <c r="A392" t="s">
        <v>546</v>
      </c>
      <c r="B392">
        <v>2026</v>
      </c>
      <c r="C392" t="s">
        <v>34</v>
      </c>
      <c r="D392" t="s">
        <v>81</v>
      </c>
      <c r="E392" t="s">
        <v>25</v>
      </c>
      <c r="F392" t="s">
        <v>37</v>
      </c>
      <c r="G392" t="s">
        <v>55</v>
      </c>
      <c r="H392" t="s">
        <v>39</v>
      </c>
      <c r="I392" t="s">
        <v>40</v>
      </c>
      <c r="J392">
        <v>51</v>
      </c>
      <c r="K392">
        <v>6.5</v>
      </c>
      <c r="L392">
        <v>12.9</v>
      </c>
      <c r="M392" t="s">
        <v>50</v>
      </c>
      <c r="N392">
        <v>8</v>
      </c>
      <c r="O392">
        <v>74.5</v>
      </c>
      <c r="P392">
        <v>9</v>
      </c>
      <c r="Q392" t="s">
        <v>31</v>
      </c>
      <c r="R392">
        <v>9</v>
      </c>
      <c r="S392" t="s">
        <v>91</v>
      </c>
      <c r="T392">
        <v>5.9</v>
      </c>
      <c r="U392" t="s">
        <v>28</v>
      </c>
      <c r="V392" t="s">
        <v>32</v>
      </c>
    </row>
    <row r="393" spans="1:22" x14ac:dyDescent="0.3">
      <c r="A393" t="s">
        <v>547</v>
      </c>
      <c r="B393">
        <v>2026</v>
      </c>
      <c r="C393" t="s">
        <v>94</v>
      </c>
      <c r="D393" t="s">
        <v>81</v>
      </c>
      <c r="E393" t="s">
        <v>25</v>
      </c>
      <c r="F393" t="s">
        <v>120</v>
      </c>
      <c r="G393" t="s">
        <v>38</v>
      </c>
      <c r="H393" t="s">
        <v>39</v>
      </c>
      <c r="I393" t="s">
        <v>56</v>
      </c>
      <c r="J393">
        <v>125</v>
      </c>
      <c r="K393">
        <v>12.4</v>
      </c>
      <c r="L393">
        <v>21.1</v>
      </c>
      <c r="M393" t="s">
        <v>50</v>
      </c>
      <c r="N393">
        <v>0</v>
      </c>
      <c r="O393">
        <v>123.41</v>
      </c>
      <c r="P393">
        <v>6</v>
      </c>
      <c r="Q393" t="s">
        <v>39</v>
      </c>
      <c r="R393">
        <v>7</v>
      </c>
      <c r="S393" t="s">
        <v>28</v>
      </c>
      <c r="T393">
        <v>9.6999999999999993</v>
      </c>
      <c r="U393" t="s">
        <v>39</v>
      </c>
      <c r="V393" t="s">
        <v>32</v>
      </c>
    </row>
    <row r="394" spans="1:22" x14ac:dyDescent="0.3">
      <c r="A394" t="s">
        <v>548</v>
      </c>
      <c r="B394">
        <v>2026</v>
      </c>
      <c r="C394" t="s">
        <v>217</v>
      </c>
      <c r="D394" t="s">
        <v>89</v>
      </c>
      <c r="E394" t="s">
        <v>82</v>
      </c>
      <c r="F394" t="s">
        <v>87</v>
      </c>
      <c r="G394" t="s">
        <v>55</v>
      </c>
      <c r="H394" t="s">
        <v>28</v>
      </c>
      <c r="I394" t="s">
        <v>46</v>
      </c>
      <c r="J394">
        <v>32</v>
      </c>
      <c r="K394">
        <v>5.7</v>
      </c>
      <c r="L394">
        <v>9.8000000000000007</v>
      </c>
      <c r="M394" t="s">
        <v>47</v>
      </c>
      <c r="N394">
        <v>3</v>
      </c>
      <c r="O394">
        <v>32.700000000000003</v>
      </c>
      <c r="P394">
        <v>0</v>
      </c>
      <c r="Q394" t="s">
        <v>28</v>
      </c>
      <c r="R394">
        <v>6</v>
      </c>
      <c r="S394" t="s">
        <v>31</v>
      </c>
      <c r="T394">
        <v>8.4</v>
      </c>
      <c r="U394" t="s">
        <v>28</v>
      </c>
      <c r="V394" t="s">
        <v>51</v>
      </c>
    </row>
    <row r="395" spans="1:22" x14ac:dyDescent="0.3">
      <c r="A395" t="s">
        <v>549</v>
      </c>
      <c r="B395">
        <v>2026</v>
      </c>
      <c r="C395" t="s">
        <v>23</v>
      </c>
      <c r="D395" t="s">
        <v>330</v>
      </c>
      <c r="E395" t="s">
        <v>36</v>
      </c>
      <c r="F395" t="s">
        <v>64</v>
      </c>
      <c r="G395" t="s">
        <v>55</v>
      </c>
      <c r="H395" t="s">
        <v>39</v>
      </c>
      <c r="I395" t="s">
        <v>46</v>
      </c>
      <c r="J395">
        <v>71</v>
      </c>
      <c r="K395">
        <v>26</v>
      </c>
      <c r="L395">
        <v>25.9</v>
      </c>
      <c r="M395" t="s">
        <v>144</v>
      </c>
      <c r="N395">
        <v>14</v>
      </c>
      <c r="O395">
        <v>126.23</v>
      </c>
      <c r="P395">
        <v>10</v>
      </c>
      <c r="Q395" t="s">
        <v>41</v>
      </c>
      <c r="R395">
        <v>6</v>
      </c>
      <c r="S395" t="s">
        <v>91</v>
      </c>
      <c r="T395">
        <v>6.2</v>
      </c>
      <c r="U395" t="s">
        <v>31</v>
      </c>
      <c r="V395" t="s">
        <v>72</v>
      </c>
    </row>
    <row r="396" spans="1:22" x14ac:dyDescent="0.3">
      <c r="A396" t="s">
        <v>550</v>
      </c>
      <c r="B396">
        <v>2026</v>
      </c>
      <c r="C396" t="s">
        <v>80</v>
      </c>
      <c r="D396" t="s">
        <v>59</v>
      </c>
      <c r="E396" t="s">
        <v>36</v>
      </c>
      <c r="F396" t="s">
        <v>98</v>
      </c>
      <c r="G396" t="s">
        <v>45</v>
      </c>
      <c r="H396" t="s">
        <v>28</v>
      </c>
      <c r="I396" t="s">
        <v>90</v>
      </c>
      <c r="J396">
        <v>92</v>
      </c>
      <c r="K396">
        <v>5.9</v>
      </c>
      <c r="L396">
        <v>0</v>
      </c>
      <c r="M396" t="s">
        <v>30</v>
      </c>
      <c r="N396">
        <v>8</v>
      </c>
      <c r="O396">
        <v>67.13</v>
      </c>
      <c r="P396">
        <v>7</v>
      </c>
      <c r="Q396" t="s">
        <v>28</v>
      </c>
      <c r="R396">
        <v>5</v>
      </c>
      <c r="S396" t="s">
        <v>28</v>
      </c>
      <c r="T396">
        <v>6.7</v>
      </c>
      <c r="U396" t="s">
        <v>28</v>
      </c>
      <c r="V396" t="s">
        <v>51</v>
      </c>
    </row>
    <row r="397" spans="1:22" x14ac:dyDescent="0.3">
      <c r="A397" t="s">
        <v>551</v>
      </c>
      <c r="B397">
        <v>2024</v>
      </c>
      <c r="C397" t="s">
        <v>104</v>
      </c>
      <c r="D397" t="s">
        <v>81</v>
      </c>
      <c r="E397" t="s">
        <v>36</v>
      </c>
      <c r="F397" t="s">
        <v>26</v>
      </c>
      <c r="G397" t="s">
        <v>55</v>
      </c>
      <c r="H397" t="s">
        <v>31</v>
      </c>
      <c r="I397" t="s">
        <v>71</v>
      </c>
      <c r="J397">
        <v>18</v>
      </c>
      <c r="K397">
        <v>3.9</v>
      </c>
      <c r="L397">
        <v>-7.8</v>
      </c>
      <c r="M397" t="s">
        <v>47</v>
      </c>
      <c r="N397">
        <v>17</v>
      </c>
      <c r="O397">
        <v>115.72</v>
      </c>
      <c r="P397">
        <v>3</v>
      </c>
      <c r="Q397" t="s">
        <v>28</v>
      </c>
      <c r="R397">
        <v>3</v>
      </c>
      <c r="S397" t="s">
        <v>41</v>
      </c>
      <c r="T397">
        <v>11.8</v>
      </c>
      <c r="U397" t="s">
        <v>39</v>
      </c>
      <c r="V397" t="s">
        <v>125</v>
      </c>
    </row>
    <row r="398" spans="1:22" x14ac:dyDescent="0.3">
      <c r="A398" t="s">
        <v>552</v>
      </c>
      <c r="B398">
        <v>2025</v>
      </c>
      <c r="C398" t="s">
        <v>74</v>
      </c>
      <c r="D398" t="s">
        <v>35</v>
      </c>
      <c r="E398" t="s">
        <v>36</v>
      </c>
      <c r="F398" t="s">
        <v>64</v>
      </c>
      <c r="G398" t="s">
        <v>55</v>
      </c>
      <c r="H398" t="s">
        <v>31</v>
      </c>
      <c r="I398" t="s">
        <v>65</v>
      </c>
      <c r="J398">
        <v>12</v>
      </c>
      <c r="K398">
        <v>1.5</v>
      </c>
      <c r="L398">
        <v>18.3</v>
      </c>
      <c r="M398" t="s">
        <v>406</v>
      </c>
      <c r="N398">
        <v>4</v>
      </c>
      <c r="O398">
        <v>15.25</v>
      </c>
      <c r="P398">
        <v>9</v>
      </c>
      <c r="Q398" t="s">
        <v>31</v>
      </c>
      <c r="R398">
        <v>6</v>
      </c>
      <c r="S398" t="s">
        <v>31</v>
      </c>
      <c r="T398">
        <v>9.3000000000000007</v>
      </c>
      <c r="U398" t="s">
        <v>39</v>
      </c>
      <c r="V398" t="s">
        <v>72</v>
      </c>
    </row>
    <row r="399" spans="1:22" x14ac:dyDescent="0.3">
      <c r="A399" t="s">
        <v>553</v>
      </c>
      <c r="B399">
        <v>2026</v>
      </c>
      <c r="C399" t="s">
        <v>34</v>
      </c>
      <c r="D399" t="s">
        <v>81</v>
      </c>
      <c r="E399" t="s">
        <v>86</v>
      </c>
      <c r="F399" t="s">
        <v>26</v>
      </c>
      <c r="G399" t="s">
        <v>38</v>
      </c>
      <c r="H399" t="s">
        <v>31</v>
      </c>
      <c r="I399" t="s">
        <v>49</v>
      </c>
      <c r="J399">
        <v>0</v>
      </c>
      <c r="K399">
        <v>3.5</v>
      </c>
      <c r="L399">
        <v>7.7</v>
      </c>
      <c r="M399" t="s">
        <v>30</v>
      </c>
      <c r="N399">
        <v>18</v>
      </c>
      <c r="O399">
        <v>13.97</v>
      </c>
      <c r="P399">
        <v>7</v>
      </c>
      <c r="Q399" t="s">
        <v>31</v>
      </c>
      <c r="R399">
        <v>6</v>
      </c>
      <c r="S399" t="s">
        <v>31</v>
      </c>
      <c r="T399">
        <v>12.6</v>
      </c>
      <c r="U399" t="s">
        <v>28</v>
      </c>
      <c r="V399" t="s">
        <v>51</v>
      </c>
    </row>
    <row r="400" spans="1:22" x14ac:dyDescent="0.3">
      <c r="A400" t="s">
        <v>554</v>
      </c>
      <c r="B400">
        <v>2026</v>
      </c>
      <c r="C400" t="s">
        <v>53</v>
      </c>
      <c r="D400" t="s">
        <v>89</v>
      </c>
      <c r="E400" t="s">
        <v>36</v>
      </c>
      <c r="F400" t="s">
        <v>87</v>
      </c>
      <c r="G400" t="s">
        <v>55</v>
      </c>
      <c r="H400" t="s">
        <v>39</v>
      </c>
      <c r="I400" t="s">
        <v>90</v>
      </c>
      <c r="J400">
        <v>73</v>
      </c>
      <c r="K400">
        <v>11.2</v>
      </c>
      <c r="L400">
        <v>20.6</v>
      </c>
      <c r="M400" t="s">
        <v>144</v>
      </c>
      <c r="N400">
        <v>35</v>
      </c>
      <c r="O400">
        <v>122.94</v>
      </c>
      <c r="P400">
        <v>8</v>
      </c>
      <c r="Q400" t="s">
        <v>31</v>
      </c>
      <c r="R400">
        <v>8</v>
      </c>
      <c r="S400" t="s">
        <v>31</v>
      </c>
      <c r="T400">
        <v>7</v>
      </c>
      <c r="U400" t="s">
        <v>41</v>
      </c>
      <c r="V400" t="s">
        <v>72</v>
      </c>
    </row>
    <row r="401" spans="1:22" x14ac:dyDescent="0.3">
      <c r="A401" t="s">
        <v>555</v>
      </c>
      <c r="B401">
        <v>2025</v>
      </c>
      <c r="C401" t="s">
        <v>84</v>
      </c>
      <c r="D401" t="s">
        <v>43</v>
      </c>
      <c r="E401" t="s">
        <v>36</v>
      </c>
      <c r="F401" t="s">
        <v>70</v>
      </c>
      <c r="G401" t="s">
        <v>27</v>
      </c>
      <c r="H401" t="s">
        <v>31</v>
      </c>
      <c r="I401" t="s">
        <v>65</v>
      </c>
      <c r="J401">
        <v>10</v>
      </c>
      <c r="K401">
        <v>2.4</v>
      </c>
      <c r="L401">
        <v>0.5</v>
      </c>
      <c r="M401" t="s">
        <v>47</v>
      </c>
      <c r="N401">
        <v>5</v>
      </c>
      <c r="O401">
        <v>60.19</v>
      </c>
      <c r="P401">
        <v>4</v>
      </c>
      <c r="Q401" t="s">
        <v>28</v>
      </c>
      <c r="R401">
        <v>3</v>
      </c>
      <c r="S401" t="s">
        <v>41</v>
      </c>
      <c r="T401">
        <v>16.3</v>
      </c>
      <c r="U401" t="s">
        <v>31</v>
      </c>
      <c r="V401" t="s">
        <v>51</v>
      </c>
    </row>
    <row r="402" spans="1:22" x14ac:dyDescent="0.3">
      <c r="A402" t="s">
        <v>556</v>
      </c>
      <c r="B402">
        <v>2025</v>
      </c>
      <c r="C402" t="s">
        <v>58</v>
      </c>
      <c r="D402" t="s">
        <v>85</v>
      </c>
      <c r="E402" t="s">
        <v>36</v>
      </c>
      <c r="F402" t="s">
        <v>87</v>
      </c>
      <c r="G402" t="s">
        <v>27</v>
      </c>
      <c r="H402" t="s">
        <v>41</v>
      </c>
      <c r="I402" t="s">
        <v>65</v>
      </c>
      <c r="J402">
        <v>3</v>
      </c>
      <c r="K402">
        <v>0.9</v>
      </c>
      <c r="L402">
        <v>6.4</v>
      </c>
      <c r="M402" t="s">
        <v>47</v>
      </c>
      <c r="N402">
        <v>17</v>
      </c>
      <c r="O402">
        <v>25.45</v>
      </c>
      <c r="P402">
        <v>6</v>
      </c>
      <c r="Q402" t="s">
        <v>31</v>
      </c>
      <c r="R402">
        <v>5</v>
      </c>
      <c r="S402" t="s">
        <v>31</v>
      </c>
      <c r="T402">
        <v>16.2</v>
      </c>
      <c r="U402" t="s">
        <v>28</v>
      </c>
      <c r="V402" t="s">
        <v>51</v>
      </c>
    </row>
    <row r="403" spans="1:22" x14ac:dyDescent="0.3">
      <c r="A403" t="s">
        <v>557</v>
      </c>
      <c r="B403">
        <v>2025</v>
      </c>
      <c r="C403" t="s">
        <v>58</v>
      </c>
      <c r="D403" t="s">
        <v>156</v>
      </c>
      <c r="E403" t="s">
        <v>36</v>
      </c>
      <c r="F403" t="s">
        <v>87</v>
      </c>
      <c r="G403" t="s">
        <v>27</v>
      </c>
      <c r="H403" t="s">
        <v>31</v>
      </c>
      <c r="I403" t="s">
        <v>56</v>
      </c>
      <c r="J403">
        <v>16</v>
      </c>
      <c r="K403">
        <v>4.5999999999999996</v>
      </c>
      <c r="L403">
        <v>14.5</v>
      </c>
      <c r="M403" t="s">
        <v>47</v>
      </c>
      <c r="N403">
        <v>3</v>
      </c>
      <c r="O403">
        <v>30.08</v>
      </c>
      <c r="P403">
        <v>8</v>
      </c>
      <c r="Q403" t="s">
        <v>31</v>
      </c>
      <c r="R403">
        <v>4</v>
      </c>
      <c r="S403" t="s">
        <v>31</v>
      </c>
      <c r="T403">
        <v>7.8</v>
      </c>
      <c r="U403" t="s">
        <v>31</v>
      </c>
      <c r="V403" t="s">
        <v>72</v>
      </c>
    </row>
    <row r="404" spans="1:22" x14ac:dyDescent="0.3">
      <c r="A404" t="s">
        <v>558</v>
      </c>
      <c r="B404">
        <v>2025</v>
      </c>
      <c r="C404" t="s">
        <v>84</v>
      </c>
      <c r="D404" t="s">
        <v>85</v>
      </c>
      <c r="E404" t="s">
        <v>36</v>
      </c>
      <c r="F404" t="s">
        <v>98</v>
      </c>
      <c r="G404" t="s">
        <v>76</v>
      </c>
      <c r="H404" t="s">
        <v>31</v>
      </c>
      <c r="I404" t="s">
        <v>90</v>
      </c>
      <c r="J404">
        <v>15</v>
      </c>
      <c r="K404">
        <v>7.2</v>
      </c>
      <c r="L404">
        <v>19.399999999999999</v>
      </c>
      <c r="M404" t="s">
        <v>30</v>
      </c>
      <c r="N404">
        <v>18</v>
      </c>
      <c r="O404">
        <v>58.2</v>
      </c>
      <c r="P404">
        <v>7</v>
      </c>
      <c r="Q404" t="s">
        <v>31</v>
      </c>
      <c r="R404">
        <v>7</v>
      </c>
      <c r="S404" t="s">
        <v>28</v>
      </c>
      <c r="T404">
        <v>7.6</v>
      </c>
      <c r="U404" t="s">
        <v>41</v>
      </c>
      <c r="V404" t="s">
        <v>32</v>
      </c>
    </row>
    <row r="405" spans="1:22" x14ac:dyDescent="0.3">
      <c r="A405" t="s">
        <v>559</v>
      </c>
      <c r="B405">
        <v>2024</v>
      </c>
      <c r="C405" t="s">
        <v>58</v>
      </c>
      <c r="D405" t="s">
        <v>81</v>
      </c>
      <c r="E405" t="s">
        <v>82</v>
      </c>
      <c r="F405" t="s">
        <v>98</v>
      </c>
      <c r="G405" t="s">
        <v>55</v>
      </c>
      <c r="H405" t="s">
        <v>31</v>
      </c>
      <c r="I405" t="s">
        <v>56</v>
      </c>
      <c r="J405">
        <v>6</v>
      </c>
      <c r="K405">
        <v>0.7</v>
      </c>
      <c r="L405">
        <v>-17.899999999999999</v>
      </c>
      <c r="M405" t="s">
        <v>47</v>
      </c>
      <c r="N405">
        <v>9</v>
      </c>
      <c r="O405">
        <v>35.04</v>
      </c>
      <c r="P405">
        <v>6</v>
      </c>
      <c r="Q405" t="s">
        <v>31</v>
      </c>
      <c r="R405">
        <v>6</v>
      </c>
      <c r="S405" t="s">
        <v>31</v>
      </c>
      <c r="T405">
        <v>7.7</v>
      </c>
      <c r="U405" t="s">
        <v>28</v>
      </c>
      <c r="V405" t="s">
        <v>51</v>
      </c>
    </row>
    <row r="406" spans="1:22" hidden="1" x14ac:dyDescent="0.3">
      <c r="A406" t="s">
        <v>560</v>
      </c>
      <c r="B406">
        <v>2024</v>
      </c>
      <c r="C406" t="s">
        <v>104</v>
      </c>
      <c r="D406" t="s">
        <v>156</v>
      </c>
      <c r="E406" t="s">
        <v>86</v>
      </c>
      <c r="F406" t="s">
        <v>120</v>
      </c>
      <c r="G406" t="s">
        <v>38</v>
      </c>
      <c r="H406" t="s">
        <v>114</v>
      </c>
      <c r="I406" t="s">
        <v>115</v>
      </c>
      <c r="J406">
        <v>0</v>
      </c>
      <c r="K406">
        <v>0</v>
      </c>
      <c r="L406">
        <v>0.4</v>
      </c>
      <c r="M406" t="s">
        <v>47</v>
      </c>
      <c r="N406">
        <v>4</v>
      </c>
      <c r="O406">
        <v>0</v>
      </c>
      <c r="P406">
        <v>4</v>
      </c>
      <c r="Q406" t="s">
        <v>39</v>
      </c>
      <c r="R406">
        <v>3</v>
      </c>
      <c r="S406" t="s">
        <v>41</v>
      </c>
      <c r="U406" t="s">
        <v>28</v>
      </c>
      <c r="V406" t="s">
        <v>125</v>
      </c>
    </row>
    <row r="407" spans="1:22" x14ac:dyDescent="0.3">
      <c r="A407" t="s">
        <v>561</v>
      </c>
      <c r="B407">
        <v>2026</v>
      </c>
      <c r="C407" t="s">
        <v>134</v>
      </c>
      <c r="D407" t="s">
        <v>85</v>
      </c>
      <c r="E407" t="s">
        <v>86</v>
      </c>
      <c r="F407" t="s">
        <v>26</v>
      </c>
      <c r="G407" t="s">
        <v>38</v>
      </c>
      <c r="H407" t="s">
        <v>28</v>
      </c>
      <c r="I407" t="s">
        <v>90</v>
      </c>
      <c r="J407">
        <v>58</v>
      </c>
      <c r="K407">
        <v>7.1</v>
      </c>
      <c r="L407">
        <v>-6.5</v>
      </c>
      <c r="M407" t="s">
        <v>50</v>
      </c>
      <c r="N407">
        <v>0</v>
      </c>
      <c r="O407">
        <v>79.08</v>
      </c>
      <c r="P407">
        <v>7</v>
      </c>
      <c r="Q407" t="s">
        <v>31</v>
      </c>
      <c r="R407">
        <v>6</v>
      </c>
      <c r="S407" t="s">
        <v>28</v>
      </c>
      <c r="T407">
        <v>9</v>
      </c>
      <c r="U407" t="s">
        <v>41</v>
      </c>
      <c r="V407" t="s">
        <v>32</v>
      </c>
    </row>
    <row r="408" spans="1:22" x14ac:dyDescent="0.3">
      <c r="A408" t="s">
        <v>562</v>
      </c>
      <c r="B408">
        <v>2025</v>
      </c>
      <c r="C408" t="s">
        <v>84</v>
      </c>
      <c r="D408" t="s">
        <v>35</v>
      </c>
      <c r="E408" t="s">
        <v>25</v>
      </c>
      <c r="F408" t="s">
        <v>64</v>
      </c>
      <c r="G408" t="s">
        <v>55</v>
      </c>
      <c r="H408" t="s">
        <v>31</v>
      </c>
      <c r="I408" t="s">
        <v>71</v>
      </c>
      <c r="J408">
        <v>19</v>
      </c>
      <c r="K408">
        <v>2.2999999999999998</v>
      </c>
      <c r="L408">
        <v>3.4</v>
      </c>
      <c r="M408" t="s">
        <v>30</v>
      </c>
      <c r="N408">
        <v>29</v>
      </c>
      <c r="O408">
        <v>115.27</v>
      </c>
      <c r="P408">
        <v>9</v>
      </c>
      <c r="Q408" t="s">
        <v>31</v>
      </c>
      <c r="R408">
        <v>7</v>
      </c>
      <c r="S408" t="s">
        <v>28</v>
      </c>
      <c r="T408">
        <v>8.3000000000000007</v>
      </c>
      <c r="U408" t="s">
        <v>41</v>
      </c>
      <c r="V408" t="s">
        <v>32</v>
      </c>
    </row>
    <row r="409" spans="1:22" x14ac:dyDescent="0.3">
      <c r="A409" t="s">
        <v>563</v>
      </c>
      <c r="B409">
        <v>2024</v>
      </c>
      <c r="C409" t="s">
        <v>94</v>
      </c>
      <c r="D409" t="s">
        <v>24</v>
      </c>
      <c r="E409" t="s">
        <v>25</v>
      </c>
      <c r="F409" t="s">
        <v>26</v>
      </c>
      <c r="G409" t="s">
        <v>27</v>
      </c>
      <c r="H409" t="s">
        <v>41</v>
      </c>
      <c r="I409" t="s">
        <v>65</v>
      </c>
      <c r="J409">
        <v>6</v>
      </c>
      <c r="K409">
        <v>0.7</v>
      </c>
      <c r="L409">
        <v>-3.3</v>
      </c>
      <c r="M409" t="s">
        <v>47</v>
      </c>
      <c r="N409">
        <v>14</v>
      </c>
      <c r="O409">
        <v>14.27</v>
      </c>
      <c r="P409">
        <v>4</v>
      </c>
      <c r="Q409" t="s">
        <v>39</v>
      </c>
      <c r="R409">
        <v>5</v>
      </c>
      <c r="S409" t="s">
        <v>41</v>
      </c>
      <c r="T409">
        <v>11.9</v>
      </c>
      <c r="U409" t="s">
        <v>28</v>
      </c>
      <c r="V409" t="s">
        <v>125</v>
      </c>
    </row>
    <row r="410" spans="1:22" x14ac:dyDescent="0.3">
      <c r="A410" t="s">
        <v>564</v>
      </c>
      <c r="B410">
        <v>2025</v>
      </c>
      <c r="C410" t="s">
        <v>196</v>
      </c>
      <c r="D410" t="s">
        <v>156</v>
      </c>
      <c r="E410" t="s">
        <v>36</v>
      </c>
      <c r="F410" t="s">
        <v>98</v>
      </c>
      <c r="G410" t="s">
        <v>76</v>
      </c>
      <c r="H410" t="s">
        <v>31</v>
      </c>
      <c r="I410" t="s">
        <v>56</v>
      </c>
      <c r="J410">
        <v>25</v>
      </c>
      <c r="K410">
        <v>2.8</v>
      </c>
      <c r="L410">
        <v>1</v>
      </c>
      <c r="M410" t="s">
        <v>30</v>
      </c>
      <c r="N410">
        <v>9</v>
      </c>
      <c r="O410">
        <v>29.79</v>
      </c>
      <c r="P410">
        <v>6</v>
      </c>
      <c r="Q410" t="s">
        <v>31</v>
      </c>
      <c r="R410">
        <v>6</v>
      </c>
      <c r="S410" t="s">
        <v>31</v>
      </c>
      <c r="T410">
        <v>15.1</v>
      </c>
      <c r="U410" t="s">
        <v>41</v>
      </c>
      <c r="V410" t="s">
        <v>51</v>
      </c>
    </row>
    <row r="411" spans="1:22" x14ac:dyDescent="0.3">
      <c r="A411" t="s">
        <v>565</v>
      </c>
      <c r="B411">
        <v>2026</v>
      </c>
      <c r="C411" t="s">
        <v>34</v>
      </c>
      <c r="D411" t="s">
        <v>24</v>
      </c>
      <c r="E411" t="s">
        <v>25</v>
      </c>
      <c r="F411" t="s">
        <v>60</v>
      </c>
      <c r="G411" t="s">
        <v>55</v>
      </c>
      <c r="H411" t="s">
        <v>39</v>
      </c>
      <c r="I411" t="s">
        <v>71</v>
      </c>
      <c r="J411">
        <v>105</v>
      </c>
      <c r="K411">
        <v>15.4</v>
      </c>
      <c r="L411">
        <v>29.8</v>
      </c>
      <c r="M411" t="s">
        <v>50</v>
      </c>
      <c r="N411">
        <v>27</v>
      </c>
      <c r="O411">
        <v>296.23</v>
      </c>
      <c r="P411">
        <v>7</v>
      </c>
      <c r="Q411" t="s">
        <v>39</v>
      </c>
      <c r="R411">
        <v>5</v>
      </c>
      <c r="S411" t="s">
        <v>91</v>
      </c>
      <c r="T411">
        <v>15.1</v>
      </c>
      <c r="U411" t="s">
        <v>39</v>
      </c>
      <c r="V411" t="s">
        <v>32</v>
      </c>
    </row>
    <row r="412" spans="1:22" x14ac:dyDescent="0.3">
      <c r="A412" t="s">
        <v>566</v>
      </c>
      <c r="B412">
        <v>2024</v>
      </c>
      <c r="C412" t="s">
        <v>217</v>
      </c>
      <c r="D412" t="s">
        <v>81</v>
      </c>
      <c r="E412" t="s">
        <v>25</v>
      </c>
      <c r="F412" t="s">
        <v>132</v>
      </c>
      <c r="G412" t="s">
        <v>27</v>
      </c>
      <c r="H412" t="s">
        <v>39</v>
      </c>
      <c r="I412" t="s">
        <v>46</v>
      </c>
      <c r="J412">
        <v>131</v>
      </c>
      <c r="K412">
        <v>24.7</v>
      </c>
      <c r="L412">
        <v>29.2</v>
      </c>
      <c r="M412" t="s">
        <v>50</v>
      </c>
      <c r="N412">
        <v>14</v>
      </c>
      <c r="O412">
        <v>63.4</v>
      </c>
      <c r="P412">
        <v>8</v>
      </c>
      <c r="Q412" t="s">
        <v>41</v>
      </c>
      <c r="R412">
        <v>8</v>
      </c>
      <c r="S412" t="s">
        <v>28</v>
      </c>
      <c r="T412">
        <v>4</v>
      </c>
      <c r="U412" t="s">
        <v>31</v>
      </c>
      <c r="V412" t="s">
        <v>72</v>
      </c>
    </row>
    <row r="413" spans="1:22" x14ac:dyDescent="0.3">
      <c r="A413" t="s">
        <v>567</v>
      </c>
      <c r="B413">
        <v>2026</v>
      </c>
      <c r="C413" t="s">
        <v>101</v>
      </c>
      <c r="D413" t="s">
        <v>24</v>
      </c>
      <c r="E413" t="s">
        <v>36</v>
      </c>
      <c r="F413" t="s">
        <v>26</v>
      </c>
      <c r="G413" t="s">
        <v>27</v>
      </c>
      <c r="H413" t="s">
        <v>28</v>
      </c>
      <c r="I413" t="s">
        <v>90</v>
      </c>
      <c r="J413">
        <v>15</v>
      </c>
      <c r="K413">
        <v>3.3</v>
      </c>
      <c r="L413">
        <v>3.1</v>
      </c>
      <c r="M413" t="s">
        <v>30</v>
      </c>
      <c r="N413">
        <v>0</v>
      </c>
      <c r="O413">
        <v>43.23</v>
      </c>
      <c r="P413">
        <v>4</v>
      </c>
      <c r="Q413" t="s">
        <v>39</v>
      </c>
      <c r="R413">
        <v>5</v>
      </c>
      <c r="S413" t="s">
        <v>28</v>
      </c>
      <c r="T413">
        <v>10.4</v>
      </c>
      <c r="U413" t="s">
        <v>28</v>
      </c>
      <c r="V413" t="s">
        <v>125</v>
      </c>
    </row>
    <row r="414" spans="1:22" x14ac:dyDescent="0.3">
      <c r="A414" t="s">
        <v>568</v>
      </c>
      <c r="B414">
        <v>2026</v>
      </c>
      <c r="C414" t="s">
        <v>117</v>
      </c>
      <c r="D414" t="s">
        <v>156</v>
      </c>
      <c r="E414" t="s">
        <v>25</v>
      </c>
      <c r="F414" t="s">
        <v>120</v>
      </c>
      <c r="G414" t="s">
        <v>55</v>
      </c>
      <c r="H414" t="s">
        <v>31</v>
      </c>
      <c r="I414" t="s">
        <v>56</v>
      </c>
      <c r="J414">
        <v>45</v>
      </c>
      <c r="K414">
        <v>3</v>
      </c>
      <c r="L414">
        <v>15.3</v>
      </c>
      <c r="M414" t="s">
        <v>50</v>
      </c>
      <c r="N414">
        <v>32</v>
      </c>
      <c r="O414">
        <v>50.39</v>
      </c>
      <c r="P414">
        <v>9</v>
      </c>
      <c r="Q414" t="s">
        <v>28</v>
      </c>
      <c r="R414">
        <v>8</v>
      </c>
      <c r="S414" t="s">
        <v>28</v>
      </c>
      <c r="T414">
        <v>5.0999999999999996</v>
      </c>
      <c r="U414" t="s">
        <v>31</v>
      </c>
      <c r="V414" t="s">
        <v>32</v>
      </c>
    </row>
    <row r="415" spans="1:22" x14ac:dyDescent="0.3">
      <c r="A415" t="s">
        <v>569</v>
      </c>
      <c r="B415">
        <v>2026</v>
      </c>
      <c r="C415" t="s">
        <v>34</v>
      </c>
      <c r="D415" t="s">
        <v>102</v>
      </c>
      <c r="E415" t="s">
        <v>36</v>
      </c>
      <c r="F415" t="s">
        <v>141</v>
      </c>
      <c r="G415" t="s">
        <v>38</v>
      </c>
      <c r="H415" t="s">
        <v>41</v>
      </c>
      <c r="I415" t="s">
        <v>49</v>
      </c>
      <c r="J415">
        <v>4</v>
      </c>
      <c r="K415">
        <v>2</v>
      </c>
      <c r="L415">
        <v>0.1</v>
      </c>
      <c r="M415" t="s">
        <v>50</v>
      </c>
      <c r="N415">
        <v>18</v>
      </c>
      <c r="O415">
        <v>0</v>
      </c>
      <c r="P415">
        <v>5</v>
      </c>
      <c r="Q415" t="s">
        <v>28</v>
      </c>
      <c r="R415">
        <v>6</v>
      </c>
      <c r="S415" t="s">
        <v>28</v>
      </c>
      <c r="T415">
        <v>10.4</v>
      </c>
      <c r="U415" t="s">
        <v>41</v>
      </c>
      <c r="V415" t="s">
        <v>51</v>
      </c>
    </row>
    <row r="416" spans="1:22" x14ac:dyDescent="0.3">
      <c r="A416" t="s">
        <v>570</v>
      </c>
      <c r="B416">
        <v>2026</v>
      </c>
      <c r="C416" t="s">
        <v>53</v>
      </c>
      <c r="D416" t="s">
        <v>156</v>
      </c>
      <c r="E416" t="s">
        <v>25</v>
      </c>
      <c r="F416" t="s">
        <v>141</v>
      </c>
      <c r="G416" t="s">
        <v>55</v>
      </c>
      <c r="H416" t="s">
        <v>28</v>
      </c>
      <c r="I416" t="s">
        <v>49</v>
      </c>
      <c r="J416">
        <v>8</v>
      </c>
      <c r="K416">
        <v>1.1000000000000001</v>
      </c>
      <c r="L416">
        <v>6.3</v>
      </c>
      <c r="M416" t="s">
        <v>47</v>
      </c>
      <c r="N416">
        <v>17</v>
      </c>
      <c r="O416">
        <v>73</v>
      </c>
      <c r="P416">
        <v>8</v>
      </c>
      <c r="Q416" t="s">
        <v>28</v>
      </c>
      <c r="R416">
        <v>6</v>
      </c>
      <c r="S416" t="s">
        <v>31</v>
      </c>
      <c r="T416">
        <v>6.6</v>
      </c>
      <c r="U416" t="s">
        <v>31</v>
      </c>
      <c r="V416" t="s">
        <v>32</v>
      </c>
    </row>
    <row r="417" spans="1:22" x14ac:dyDescent="0.3">
      <c r="A417" t="s">
        <v>571</v>
      </c>
      <c r="B417">
        <v>2025</v>
      </c>
      <c r="C417" t="s">
        <v>53</v>
      </c>
      <c r="D417" t="s">
        <v>89</v>
      </c>
      <c r="E417" t="s">
        <v>36</v>
      </c>
      <c r="F417" t="s">
        <v>120</v>
      </c>
      <c r="G417" t="s">
        <v>27</v>
      </c>
      <c r="H417" t="s">
        <v>39</v>
      </c>
      <c r="I417" t="s">
        <v>56</v>
      </c>
      <c r="J417">
        <v>67</v>
      </c>
      <c r="K417">
        <v>10.7</v>
      </c>
      <c r="L417">
        <v>25.1</v>
      </c>
      <c r="M417" t="s">
        <v>30</v>
      </c>
      <c r="N417">
        <v>7</v>
      </c>
      <c r="O417">
        <v>78</v>
      </c>
      <c r="P417">
        <v>9</v>
      </c>
      <c r="Q417" t="s">
        <v>41</v>
      </c>
      <c r="R417">
        <v>7</v>
      </c>
      <c r="S417" t="s">
        <v>31</v>
      </c>
      <c r="T417">
        <v>5.3</v>
      </c>
      <c r="U417" t="s">
        <v>28</v>
      </c>
      <c r="V417" t="s">
        <v>72</v>
      </c>
    </row>
    <row r="418" spans="1:22" x14ac:dyDescent="0.3">
      <c r="A418" t="s">
        <v>572</v>
      </c>
      <c r="B418">
        <v>2025</v>
      </c>
      <c r="C418" t="s">
        <v>23</v>
      </c>
      <c r="D418" t="s">
        <v>63</v>
      </c>
      <c r="E418" t="s">
        <v>86</v>
      </c>
      <c r="F418" t="s">
        <v>87</v>
      </c>
      <c r="G418" t="s">
        <v>27</v>
      </c>
      <c r="H418" t="s">
        <v>28</v>
      </c>
      <c r="I418" t="s">
        <v>46</v>
      </c>
      <c r="J418">
        <v>41</v>
      </c>
      <c r="K418">
        <v>33.1</v>
      </c>
      <c r="L418">
        <v>-3.2</v>
      </c>
      <c r="M418" t="s">
        <v>30</v>
      </c>
      <c r="N418">
        <v>11</v>
      </c>
      <c r="O418">
        <v>95.42</v>
      </c>
      <c r="P418">
        <v>4</v>
      </c>
      <c r="Q418" t="s">
        <v>28</v>
      </c>
      <c r="R418">
        <v>5</v>
      </c>
      <c r="S418" t="s">
        <v>31</v>
      </c>
      <c r="T418">
        <v>8.6</v>
      </c>
      <c r="U418" t="s">
        <v>31</v>
      </c>
      <c r="V418" t="s">
        <v>51</v>
      </c>
    </row>
    <row r="419" spans="1:22" x14ac:dyDescent="0.3">
      <c r="A419" t="s">
        <v>573</v>
      </c>
      <c r="B419">
        <v>2025</v>
      </c>
      <c r="C419" t="s">
        <v>217</v>
      </c>
      <c r="D419" t="s">
        <v>69</v>
      </c>
      <c r="E419" t="s">
        <v>36</v>
      </c>
      <c r="F419" t="s">
        <v>64</v>
      </c>
      <c r="G419" t="s">
        <v>27</v>
      </c>
      <c r="H419" t="s">
        <v>39</v>
      </c>
      <c r="I419" t="s">
        <v>65</v>
      </c>
      <c r="J419">
        <v>101</v>
      </c>
      <c r="K419">
        <v>4.9000000000000004</v>
      </c>
      <c r="L419">
        <v>22.6</v>
      </c>
      <c r="M419" t="s">
        <v>30</v>
      </c>
      <c r="N419">
        <v>8</v>
      </c>
      <c r="O419">
        <v>41.87</v>
      </c>
      <c r="P419">
        <v>7</v>
      </c>
      <c r="Q419" t="s">
        <v>31</v>
      </c>
      <c r="R419">
        <v>7</v>
      </c>
      <c r="S419" t="s">
        <v>91</v>
      </c>
      <c r="T419">
        <v>6.3</v>
      </c>
      <c r="U419" t="s">
        <v>28</v>
      </c>
      <c r="V419" t="s">
        <v>32</v>
      </c>
    </row>
    <row r="420" spans="1:22" x14ac:dyDescent="0.3">
      <c r="A420" t="s">
        <v>574</v>
      </c>
      <c r="B420">
        <v>2024</v>
      </c>
      <c r="C420" t="s">
        <v>74</v>
      </c>
      <c r="D420" t="s">
        <v>102</v>
      </c>
      <c r="E420" t="s">
        <v>25</v>
      </c>
      <c r="F420" t="s">
        <v>132</v>
      </c>
      <c r="G420" t="s">
        <v>27</v>
      </c>
      <c r="H420" t="s">
        <v>28</v>
      </c>
      <c r="I420" t="s">
        <v>71</v>
      </c>
      <c r="J420">
        <v>64</v>
      </c>
      <c r="K420">
        <v>10.199999999999999</v>
      </c>
      <c r="L420">
        <v>2.7</v>
      </c>
      <c r="M420" t="s">
        <v>50</v>
      </c>
      <c r="N420">
        <v>20</v>
      </c>
      <c r="O420">
        <v>441.52</v>
      </c>
      <c r="P420">
        <v>7</v>
      </c>
      <c r="Q420" t="s">
        <v>31</v>
      </c>
      <c r="R420">
        <v>6</v>
      </c>
      <c r="S420" t="s">
        <v>31</v>
      </c>
      <c r="T420">
        <v>6.4</v>
      </c>
      <c r="U420" t="s">
        <v>41</v>
      </c>
      <c r="V420" t="s">
        <v>32</v>
      </c>
    </row>
    <row r="421" spans="1:22" x14ac:dyDescent="0.3">
      <c r="A421" t="s">
        <v>575</v>
      </c>
      <c r="B421">
        <v>2026</v>
      </c>
      <c r="C421" t="s">
        <v>34</v>
      </c>
      <c r="D421" t="s">
        <v>59</v>
      </c>
      <c r="E421" t="s">
        <v>86</v>
      </c>
      <c r="F421" t="s">
        <v>98</v>
      </c>
      <c r="G421" t="s">
        <v>55</v>
      </c>
      <c r="H421" t="s">
        <v>31</v>
      </c>
      <c r="I421" t="s">
        <v>65</v>
      </c>
      <c r="J421">
        <v>14</v>
      </c>
      <c r="K421">
        <v>4.0999999999999996</v>
      </c>
      <c r="L421">
        <v>0.9</v>
      </c>
      <c r="M421" t="s">
        <v>30</v>
      </c>
      <c r="N421">
        <v>13</v>
      </c>
      <c r="O421">
        <v>61.23</v>
      </c>
      <c r="P421">
        <v>6</v>
      </c>
      <c r="Q421" t="s">
        <v>28</v>
      </c>
      <c r="R421">
        <v>5</v>
      </c>
      <c r="S421" t="s">
        <v>31</v>
      </c>
      <c r="T421">
        <v>14.8</v>
      </c>
      <c r="U421" t="s">
        <v>41</v>
      </c>
      <c r="V421" t="s">
        <v>51</v>
      </c>
    </row>
    <row r="422" spans="1:22" x14ac:dyDescent="0.3">
      <c r="A422" t="s">
        <v>576</v>
      </c>
      <c r="B422">
        <v>2026</v>
      </c>
      <c r="C422" t="s">
        <v>74</v>
      </c>
      <c r="D422" t="s">
        <v>63</v>
      </c>
      <c r="E422" t="s">
        <v>25</v>
      </c>
      <c r="F422" t="s">
        <v>60</v>
      </c>
      <c r="G422" t="s">
        <v>76</v>
      </c>
      <c r="H422" t="s">
        <v>28</v>
      </c>
      <c r="I422" t="s">
        <v>61</v>
      </c>
      <c r="J422">
        <v>77</v>
      </c>
      <c r="K422">
        <v>21.4</v>
      </c>
      <c r="L422">
        <v>24</v>
      </c>
      <c r="M422" t="s">
        <v>144</v>
      </c>
      <c r="N422">
        <v>34</v>
      </c>
      <c r="O422">
        <v>88.6</v>
      </c>
      <c r="P422">
        <v>10</v>
      </c>
      <c r="Q422" t="s">
        <v>28</v>
      </c>
      <c r="R422">
        <v>7</v>
      </c>
      <c r="S422" t="s">
        <v>91</v>
      </c>
      <c r="T422">
        <v>9.1999999999999993</v>
      </c>
      <c r="U422" t="s">
        <v>41</v>
      </c>
      <c r="V422" t="s">
        <v>72</v>
      </c>
    </row>
    <row r="423" spans="1:22" x14ac:dyDescent="0.3">
      <c r="A423" t="s">
        <v>577</v>
      </c>
      <c r="B423">
        <v>2026</v>
      </c>
      <c r="C423" t="s">
        <v>84</v>
      </c>
      <c r="D423" t="s">
        <v>102</v>
      </c>
      <c r="E423" t="s">
        <v>25</v>
      </c>
      <c r="F423" t="s">
        <v>26</v>
      </c>
      <c r="G423" t="s">
        <v>76</v>
      </c>
      <c r="H423" t="s">
        <v>28</v>
      </c>
      <c r="I423" t="s">
        <v>49</v>
      </c>
      <c r="J423">
        <v>35</v>
      </c>
      <c r="K423">
        <v>3.7</v>
      </c>
      <c r="L423">
        <v>4.2</v>
      </c>
      <c r="M423" t="s">
        <v>30</v>
      </c>
      <c r="N423">
        <v>35</v>
      </c>
      <c r="O423">
        <v>31.37</v>
      </c>
      <c r="P423">
        <v>6</v>
      </c>
      <c r="Q423" t="s">
        <v>31</v>
      </c>
      <c r="R423">
        <v>0</v>
      </c>
      <c r="S423" t="s">
        <v>31</v>
      </c>
      <c r="T423">
        <v>6.9</v>
      </c>
      <c r="U423" t="s">
        <v>31</v>
      </c>
      <c r="V423" t="s">
        <v>51</v>
      </c>
    </row>
    <row r="424" spans="1:22" x14ac:dyDescent="0.3">
      <c r="A424" t="s">
        <v>578</v>
      </c>
      <c r="B424">
        <v>2026</v>
      </c>
      <c r="C424" t="s">
        <v>53</v>
      </c>
      <c r="D424" t="s">
        <v>24</v>
      </c>
      <c r="E424" t="s">
        <v>36</v>
      </c>
      <c r="F424" t="s">
        <v>54</v>
      </c>
      <c r="G424" t="s">
        <v>38</v>
      </c>
      <c r="H424" t="s">
        <v>28</v>
      </c>
      <c r="I424" t="s">
        <v>90</v>
      </c>
      <c r="J424">
        <v>107</v>
      </c>
      <c r="K424">
        <v>24</v>
      </c>
      <c r="L424">
        <v>33.200000000000003</v>
      </c>
      <c r="M424" t="s">
        <v>30</v>
      </c>
      <c r="N424">
        <v>7</v>
      </c>
      <c r="O424">
        <v>77.61</v>
      </c>
      <c r="P424">
        <v>5</v>
      </c>
      <c r="Q424" t="s">
        <v>31</v>
      </c>
      <c r="R424">
        <v>5</v>
      </c>
      <c r="S424" t="s">
        <v>31</v>
      </c>
      <c r="T424">
        <v>7.4</v>
      </c>
      <c r="U424" t="s">
        <v>31</v>
      </c>
      <c r="V424" t="s">
        <v>32</v>
      </c>
    </row>
    <row r="425" spans="1:22" x14ac:dyDescent="0.3">
      <c r="A425" t="s">
        <v>579</v>
      </c>
      <c r="B425">
        <v>2025</v>
      </c>
      <c r="C425" t="s">
        <v>196</v>
      </c>
      <c r="D425" t="s">
        <v>156</v>
      </c>
      <c r="E425" t="s">
        <v>25</v>
      </c>
      <c r="F425" t="s">
        <v>54</v>
      </c>
      <c r="G425" t="s">
        <v>27</v>
      </c>
      <c r="H425" t="s">
        <v>41</v>
      </c>
      <c r="I425" t="s">
        <v>49</v>
      </c>
      <c r="J425">
        <v>9</v>
      </c>
      <c r="K425">
        <v>1.7</v>
      </c>
      <c r="L425">
        <v>5.8</v>
      </c>
      <c r="M425" t="s">
        <v>30</v>
      </c>
      <c r="N425">
        <v>0</v>
      </c>
      <c r="O425">
        <v>9.6199999999999992</v>
      </c>
      <c r="P425">
        <v>5</v>
      </c>
      <c r="Q425" t="s">
        <v>41</v>
      </c>
      <c r="R425">
        <v>5</v>
      </c>
      <c r="S425" t="s">
        <v>31</v>
      </c>
      <c r="T425">
        <v>6.2</v>
      </c>
      <c r="U425" t="s">
        <v>28</v>
      </c>
      <c r="V425" t="s">
        <v>51</v>
      </c>
    </row>
    <row r="426" spans="1:22" x14ac:dyDescent="0.3">
      <c r="A426" t="s">
        <v>580</v>
      </c>
      <c r="B426">
        <v>2026</v>
      </c>
      <c r="C426" t="s">
        <v>23</v>
      </c>
      <c r="D426" t="s">
        <v>581</v>
      </c>
      <c r="E426" t="s">
        <v>36</v>
      </c>
      <c r="F426" t="s">
        <v>98</v>
      </c>
      <c r="G426" t="s">
        <v>38</v>
      </c>
      <c r="H426" t="s">
        <v>41</v>
      </c>
      <c r="I426" t="s">
        <v>49</v>
      </c>
      <c r="J426">
        <v>8</v>
      </c>
      <c r="K426">
        <v>2.2999999999999998</v>
      </c>
      <c r="L426">
        <v>23.1</v>
      </c>
      <c r="M426" t="s">
        <v>50</v>
      </c>
      <c r="N426">
        <v>35</v>
      </c>
      <c r="O426">
        <v>17.63</v>
      </c>
      <c r="P426">
        <v>7</v>
      </c>
      <c r="Q426" t="s">
        <v>28</v>
      </c>
      <c r="R426">
        <v>7</v>
      </c>
      <c r="S426" t="s">
        <v>28</v>
      </c>
      <c r="T426">
        <v>5.3</v>
      </c>
      <c r="U426" t="s">
        <v>39</v>
      </c>
      <c r="V426" t="s">
        <v>32</v>
      </c>
    </row>
    <row r="427" spans="1:22" x14ac:dyDescent="0.3">
      <c r="A427" t="s">
        <v>582</v>
      </c>
      <c r="B427">
        <v>2026</v>
      </c>
      <c r="C427" t="s">
        <v>80</v>
      </c>
      <c r="D427" t="s">
        <v>81</v>
      </c>
      <c r="E427" t="s">
        <v>86</v>
      </c>
      <c r="F427" t="s">
        <v>75</v>
      </c>
      <c r="G427" t="s">
        <v>55</v>
      </c>
      <c r="H427" t="s">
        <v>28</v>
      </c>
      <c r="I427" t="s">
        <v>71</v>
      </c>
      <c r="J427">
        <v>62</v>
      </c>
      <c r="K427">
        <v>6</v>
      </c>
      <c r="L427">
        <v>-8.1</v>
      </c>
      <c r="M427" t="s">
        <v>30</v>
      </c>
      <c r="N427">
        <v>0</v>
      </c>
      <c r="O427">
        <v>143.36000000000001</v>
      </c>
      <c r="P427">
        <v>3</v>
      </c>
      <c r="Q427" t="s">
        <v>28</v>
      </c>
      <c r="R427">
        <v>7</v>
      </c>
      <c r="S427" t="s">
        <v>31</v>
      </c>
      <c r="T427">
        <v>8.6</v>
      </c>
      <c r="U427" t="s">
        <v>39</v>
      </c>
      <c r="V427" t="s">
        <v>125</v>
      </c>
    </row>
    <row r="428" spans="1:22" x14ac:dyDescent="0.3">
      <c r="A428" t="s">
        <v>583</v>
      </c>
      <c r="B428">
        <v>2024</v>
      </c>
      <c r="C428" t="s">
        <v>53</v>
      </c>
      <c r="D428" t="s">
        <v>102</v>
      </c>
      <c r="E428" t="s">
        <v>82</v>
      </c>
      <c r="F428" t="s">
        <v>132</v>
      </c>
      <c r="G428" t="s">
        <v>27</v>
      </c>
      <c r="H428" t="s">
        <v>41</v>
      </c>
      <c r="I428" t="s">
        <v>65</v>
      </c>
      <c r="J428">
        <v>3</v>
      </c>
      <c r="K428">
        <v>1.5</v>
      </c>
      <c r="L428">
        <v>-2.2999999999999998</v>
      </c>
      <c r="M428" t="s">
        <v>47</v>
      </c>
      <c r="N428">
        <v>0</v>
      </c>
      <c r="O428">
        <v>26.47</v>
      </c>
      <c r="P428">
        <v>5</v>
      </c>
      <c r="Q428" t="s">
        <v>28</v>
      </c>
      <c r="R428">
        <v>5</v>
      </c>
      <c r="S428" t="s">
        <v>41</v>
      </c>
      <c r="T428">
        <v>17.399999999999999</v>
      </c>
      <c r="U428" t="s">
        <v>39</v>
      </c>
      <c r="V428" t="s">
        <v>125</v>
      </c>
    </row>
    <row r="429" spans="1:22" x14ac:dyDescent="0.3">
      <c r="A429" t="s">
        <v>584</v>
      </c>
      <c r="B429">
        <v>2025</v>
      </c>
      <c r="C429" t="s">
        <v>74</v>
      </c>
      <c r="D429" t="s">
        <v>85</v>
      </c>
      <c r="E429" t="s">
        <v>36</v>
      </c>
      <c r="F429" t="s">
        <v>37</v>
      </c>
      <c r="G429" t="s">
        <v>38</v>
      </c>
      <c r="H429" t="s">
        <v>31</v>
      </c>
      <c r="I429" t="s">
        <v>40</v>
      </c>
      <c r="J429">
        <v>8</v>
      </c>
      <c r="K429">
        <v>3</v>
      </c>
      <c r="L429">
        <v>11.5</v>
      </c>
      <c r="M429" t="s">
        <v>30</v>
      </c>
      <c r="N429">
        <v>4</v>
      </c>
      <c r="O429">
        <v>45.36</v>
      </c>
      <c r="P429">
        <v>7</v>
      </c>
      <c r="Q429" t="s">
        <v>31</v>
      </c>
      <c r="R429">
        <v>6</v>
      </c>
      <c r="S429" t="s">
        <v>31</v>
      </c>
      <c r="T429">
        <v>9.5</v>
      </c>
      <c r="U429" t="s">
        <v>41</v>
      </c>
      <c r="V429" t="s">
        <v>32</v>
      </c>
    </row>
    <row r="430" spans="1:22" x14ac:dyDescent="0.3">
      <c r="A430" t="s">
        <v>585</v>
      </c>
      <c r="B430">
        <v>2026</v>
      </c>
      <c r="C430" t="s">
        <v>34</v>
      </c>
      <c r="D430" t="s">
        <v>69</v>
      </c>
      <c r="E430" t="s">
        <v>86</v>
      </c>
      <c r="F430" t="s">
        <v>54</v>
      </c>
      <c r="G430" t="s">
        <v>55</v>
      </c>
      <c r="H430" t="s">
        <v>31</v>
      </c>
      <c r="I430" t="s">
        <v>56</v>
      </c>
      <c r="J430">
        <v>17</v>
      </c>
      <c r="K430">
        <v>2.9</v>
      </c>
      <c r="L430">
        <v>7.3</v>
      </c>
      <c r="M430" t="s">
        <v>30</v>
      </c>
      <c r="N430">
        <v>8</v>
      </c>
      <c r="O430">
        <v>11.78</v>
      </c>
      <c r="P430">
        <v>6</v>
      </c>
      <c r="Q430" t="s">
        <v>39</v>
      </c>
      <c r="R430">
        <v>4</v>
      </c>
      <c r="S430" t="s">
        <v>28</v>
      </c>
      <c r="T430">
        <v>6.4</v>
      </c>
      <c r="U430" t="s">
        <v>39</v>
      </c>
      <c r="V430" t="s">
        <v>51</v>
      </c>
    </row>
    <row r="431" spans="1:22" x14ac:dyDescent="0.3">
      <c r="A431" t="s">
        <v>586</v>
      </c>
      <c r="B431">
        <v>2024</v>
      </c>
      <c r="C431" t="s">
        <v>117</v>
      </c>
      <c r="D431" t="s">
        <v>102</v>
      </c>
      <c r="E431" t="s">
        <v>86</v>
      </c>
      <c r="F431" t="s">
        <v>141</v>
      </c>
      <c r="G431" t="s">
        <v>55</v>
      </c>
      <c r="H431" t="s">
        <v>41</v>
      </c>
      <c r="I431" t="s">
        <v>49</v>
      </c>
      <c r="J431">
        <v>5</v>
      </c>
      <c r="K431">
        <v>1.5</v>
      </c>
      <c r="L431">
        <v>0</v>
      </c>
      <c r="M431" t="s">
        <v>47</v>
      </c>
      <c r="N431">
        <v>1</v>
      </c>
      <c r="O431">
        <v>11.14</v>
      </c>
      <c r="P431">
        <v>6</v>
      </c>
      <c r="Q431" t="s">
        <v>587</v>
      </c>
      <c r="R431">
        <v>4</v>
      </c>
      <c r="S431" t="s">
        <v>41</v>
      </c>
      <c r="T431">
        <v>17.5</v>
      </c>
      <c r="U431" t="s">
        <v>41</v>
      </c>
      <c r="V431" t="s">
        <v>125</v>
      </c>
    </row>
    <row r="432" spans="1:22" x14ac:dyDescent="0.3">
      <c r="A432" t="s">
        <v>588</v>
      </c>
      <c r="B432">
        <v>2025</v>
      </c>
      <c r="C432" t="s">
        <v>196</v>
      </c>
      <c r="D432" t="s">
        <v>59</v>
      </c>
      <c r="E432" t="s">
        <v>36</v>
      </c>
      <c r="F432" t="s">
        <v>37</v>
      </c>
      <c r="G432" t="s">
        <v>55</v>
      </c>
      <c r="H432" t="s">
        <v>31</v>
      </c>
      <c r="I432" t="s">
        <v>71</v>
      </c>
      <c r="J432">
        <v>18</v>
      </c>
      <c r="K432">
        <v>5.9</v>
      </c>
      <c r="L432">
        <v>9.3000000000000007</v>
      </c>
      <c r="M432" t="s">
        <v>30</v>
      </c>
      <c r="N432">
        <v>31</v>
      </c>
      <c r="O432">
        <v>63.11</v>
      </c>
      <c r="P432">
        <v>5</v>
      </c>
      <c r="Q432" t="s">
        <v>28</v>
      </c>
      <c r="R432">
        <v>5</v>
      </c>
      <c r="S432" t="s">
        <v>31</v>
      </c>
      <c r="T432">
        <v>13.6</v>
      </c>
      <c r="U432" t="s">
        <v>31</v>
      </c>
      <c r="V432" t="s">
        <v>32</v>
      </c>
    </row>
    <row r="433" spans="1:22" x14ac:dyDescent="0.3">
      <c r="A433" t="s">
        <v>589</v>
      </c>
      <c r="B433">
        <v>2025</v>
      </c>
      <c r="C433" t="s">
        <v>129</v>
      </c>
      <c r="D433" t="s">
        <v>81</v>
      </c>
      <c r="E433" t="s">
        <v>25</v>
      </c>
      <c r="F433" t="s">
        <v>26</v>
      </c>
      <c r="G433" t="s">
        <v>38</v>
      </c>
      <c r="H433" t="s">
        <v>31</v>
      </c>
      <c r="I433" t="s">
        <v>71</v>
      </c>
      <c r="J433">
        <v>26</v>
      </c>
      <c r="K433">
        <v>8</v>
      </c>
      <c r="L433">
        <v>27.4</v>
      </c>
      <c r="M433" t="s">
        <v>144</v>
      </c>
      <c r="N433">
        <v>14</v>
      </c>
      <c r="O433">
        <v>112.12</v>
      </c>
      <c r="P433">
        <v>7</v>
      </c>
      <c r="Q433" t="s">
        <v>41</v>
      </c>
      <c r="R433">
        <v>6</v>
      </c>
      <c r="S433" t="s">
        <v>28</v>
      </c>
      <c r="T433">
        <v>11</v>
      </c>
      <c r="U433" t="s">
        <v>41</v>
      </c>
      <c r="V433" t="s">
        <v>32</v>
      </c>
    </row>
    <row r="434" spans="1:22" x14ac:dyDescent="0.3">
      <c r="A434" t="s">
        <v>590</v>
      </c>
      <c r="B434">
        <v>2025</v>
      </c>
      <c r="C434" t="s">
        <v>74</v>
      </c>
      <c r="D434" t="s">
        <v>63</v>
      </c>
      <c r="E434" t="s">
        <v>591</v>
      </c>
      <c r="F434" t="s">
        <v>75</v>
      </c>
      <c r="G434" t="s">
        <v>27</v>
      </c>
      <c r="H434" t="s">
        <v>28</v>
      </c>
      <c r="I434" t="s">
        <v>49</v>
      </c>
      <c r="J434">
        <v>26</v>
      </c>
      <c r="K434">
        <v>4.5999999999999996</v>
      </c>
      <c r="L434">
        <v>7.4</v>
      </c>
      <c r="M434" t="s">
        <v>30</v>
      </c>
      <c r="N434">
        <v>10</v>
      </c>
      <c r="O434">
        <v>131.94</v>
      </c>
      <c r="P434">
        <v>7</v>
      </c>
      <c r="Q434" t="s">
        <v>31</v>
      </c>
      <c r="R434">
        <v>6</v>
      </c>
      <c r="S434" t="s">
        <v>28</v>
      </c>
      <c r="T434">
        <v>9.5</v>
      </c>
      <c r="U434" t="s">
        <v>31</v>
      </c>
      <c r="V434" t="s">
        <v>51</v>
      </c>
    </row>
    <row r="435" spans="1:22" x14ac:dyDescent="0.3">
      <c r="A435" t="s">
        <v>592</v>
      </c>
      <c r="B435">
        <v>2026</v>
      </c>
      <c r="C435" t="s">
        <v>80</v>
      </c>
      <c r="D435" t="s">
        <v>35</v>
      </c>
      <c r="E435" t="s">
        <v>82</v>
      </c>
      <c r="F435" t="s">
        <v>132</v>
      </c>
      <c r="G435" t="s">
        <v>27</v>
      </c>
      <c r="H435" t="s">
        <v>39</v>
      </c>
      <c r="I435" t="s">
        <v>90</v>
      </c>
      <c r="J435">
        <v>64</v>
      </c>
      <c r="K435">
        <v>12.3</v>
      </c>
      <c r="L435">
        <v>23.9</v>
      </c>
      <c r="M435" t="s">
        <v>144</v>
      </c>
      <c r="N435">
        <v>38</v>
      </c>
      <c r="O435">
        <v>113.8</v>
      </c>
      <c r="P435">
        <v>9</v>
      </c>
      <c r="Q435" t="s">
        <v>39</v>
      </c>
      <c r="R435">
        <v>8</v>
      </c>
      <c r="S435" t="s">
        <v>28</v>
      </c>
      <c r="T435">
        <v>7.9</v>
      </c>
      <c r="U435" t="s">
        <v>31</v>
      </c>
      <c r="V435" t="s">
        <v>32</v>
      </c>
    </row>
    <row r="436" spans="1:22" x14ac:dyDescent="0.3">
      <c r="A436" t="s">
        <v>593</v>
      </c>
      <c r="B436">
        <v>2025</v>
      </c>
      <c r="C436" t="s">
        <v>74</v>
      </c>
      <c r="D436" t="s">
        <v>69</v>
      </c>
      <c r="E436" t="s">
        <v>25</v>
      </c>
      <c r="F436" t="s">
        <v>37</v>
      </c>
      <c r="G436" t="s">
        <v>55</v>
      </c>
      <c r="H436" t="s">
        <v>28</v>
      </c>
      <c r="I436" t="s">
        <v>40</v>
      </c>
      <c r="J436">
        <v>35</v>
      </c>
      <c r="K436">
        <v>9.6999999999999993</v>
      </c>
      <c r="L436">
        <v>12.3</v>
      </c>
      <c r="M436" t="s">
        <v>50</v>
      </c>
      <c r="N436">
        <v>14</v>
      </c>
      <c r="O436">
        <v>321.14999999999998</v>
      </c>
      <c r="P436">
        <v>6</v>
      </c>
      <c r="Q436" t="s">
        <v>28</v>
      </c>
      <c r="R436">
        <v>7</v>
      </c>
      <c r="S436" t="s">
        <v>28</v>
      </c>
      <c r="T436">
        <v>7.3</v>
      </c>
      <c r="U436" t="s">
        <v>41</v>
      </c>
      <c r="V436" t="s">
        <v>32</v>
      </c>
    </row>
    <row r="437" spans="1:22" x14ac:dyDescent="0.3">
      <c r="A437" t="s">
        <v>594</v>
      </c>
      <c r="B437">
        <v>2024</v>
      </c>
      <c r="C437" t="s">
        <v>84</v>
      </c>
      <c r="D437" t="s">
        <v>35</v>
      </c>
      <c r="E437" t="s">
        <v>82</v>
      </c>
      <c r="F437" t="s">
        <v>37</v>
      </c>
      <c r="G437" t="s">
        <v>76</v>
      </c>
      <c r="H437" t="s">
        <v>31</v>
      </c>
      <c r="I437" t="s">
        <v>40</v>
      </c>
      <c r="J437">
        <v>10</v>
      </c>
      <c r="K437">
        <v>0.5</v>
      </c>
      <c r="L437">
        <v>1.7</v>
      </c>
      <c r="M437" t="s">
        <v>30</v>
      </c>
      <c r="N437">
        <v>11</v>
      </c>
      <c r="O437">
        <v>55.23</v>
      </c>
      <c r="P437">
        <v>7</v>
      </c>
      <c r="Q437" t="s">
        <v>31</v>
      </c>
      <c r="R437">
        <v>6</v>
      </c>
      <c r="S437" t="s">
        <v>31</v>
      </c>
      <c r="T437">
        <v>9.9</v>
      </c>
      <c r="U437" t="s">
        <v>31</v>
      </c>
      <c r="V437" t="s">
        <v>51</v>
      </c>
    </row>
    <row r="438" spans="1:22" x14ac:dyDescent="0.3">
      <c r="A438" t="s">
        <v>595</v>
      </c>
      <c r="B438">
        <v>2026</v>
      </c>
      <c r="C438" t="s">
        <v>53</v>
      </c>
      <c r="D438" t="s">
        <v>63</v>
      </c>
      <c r="E438" t="s">
        <v>25</v>
      </c>
      <c r="F438" t="s">
        <v>70</v>
      </c>
      <c r="G438" t="s">
        <v>55</v>
      </c>
      <c r="H438" t="s">
        <v>28</v>
      </c>
      <c r="I438" t="s">
        <v>71</v>
      </c>
      <c r="J438">
        <v>89</v>
      </c>
      <c r="K438">
        <v>18.2</v>
      </c>
      <c r="L438">
        <v>34.700000000000003</v>
      </c>
      <c r="M438" t="s">
        <v>144</v>
      </c>
      <c r="N438">
        <v>58</v>
      </c>
      <c r="O438">
        <v>234.82</v>
      </c>
      <c r="P438">
        <v>10</v>
      </c>
      <c r="Q438" t="s">
        <v>41</v>
      </c>
      <c r="R438">
        <v>7</v>
      </c>
      <c r="S438" t="s">
        <v>91</v>
      </c>
      <c r="T438">
        <v>6</v>
      </c>
      <c r="U438" t="s">
        <v>41</v>
      </c>
      <c r="V438" t="s">
        <v>72</v>
      </c>
    </row>
    <row r="439" spans="1:22" x14ac:dyDescent="0.3">
      <c r="A439" t="s">
        <v>596</v>
      </c>
      <c r="B439">
        <v>2024</v>
      </c>
      <c r="C439" t="s">
        <v>94</v>
      </c>
      <c r="D439" t="s">
        <v>69</v>
      </c>
      <c r="E439" t="s">
        <v>86</v>
      </c>
      <c r="F439" t="s">
        <v>113</v>
      </c>
      <c r="G439" t="s">
        <v>55</v>
      </c>
      <c r="H439" t="s">
        <v>28</v>
      </c>
      <c r="I439" t="s">
        <v>46</v>
      </c>
      <c r="J439">
        <v>38</v>
      </c>
      <c r="K439">
        <v>12.9</v>
      </c>
      <c r="L439">
        <v>21.2</v>
      </c>
      <c r="M439" t="s">
        <v>30</v>
      </c>
      <c r="N439">
        <v>7</v>
      </c>
      <c r="O439">
        <v>0</v>
      </c>
      <c r="P439">
        <v>6</v>
      </c>
      <c r="Q439" t="s">
        <v>31</v>
      </c>
      <c r="R439">
        <v>6</v>
      </c>
      <c r="S439" t="s">
        <v>31</v>
      </c>
      <c r="T439">
        <v>6.7</v>
      </c>
      <c r="U439" t="s">
        <v>31</v>
      </c>
      <c r="V439" t="s">
        <v>72</v>
      </c>
    </row>
    <row r="440" spans="1:22" x14ac:dyDescent="0.3">
      <c r="A440" t="s">
        <v>597</v>
      </c>
      <c r="B440">
        <v>2026</v>
      </c>
      <c r="C440" t="s">
        <v>53</v>
      </c>
      <c r="D440" t="s">
        <v>81</v>
      </c>
      <c r="E440" t="s">
        <v>82</v>
      </c>
      <c r="F440" t="s">
        <v>37</v>
      </c>
      <c r="G440" t="s">
        <v>27</v>
      </c>
      <c r="H440" t="s">
        <v>39</v>
      </c>
      <c r="I440" t="s">
        <v>40</v>
      </c>
      <c r="J440">
        <v>17</v>
      </c>
      <c r="K440">
        <v>5.2</v>
      </c>
      <c r="L440">
        <v>3.3</v>
      </c>
      <c r="M440" t="s">
        <v>50</v>
      </c>
      <c r="N440">
        <v>20</v>
      </c>
      <c r="O440">
        <v>108.36</v>
      </c>
      <c r="P440">
        <v>6</v>
      </c>
      <c r="Q440" t="s">
        <v>39</v>
      </c>
      <c r="R440">
        <v>9</v>
      </c>
      <c r="S440" t="s">
        <v>91</v>
      </c>
      <c r="T440">
        <v>4</v>
      </c>
      <c r="U440" t="s">
        <v>28</v>
      </c>
      <c r="V440" t="s">
        <v>32</v>
      </c>
    </row>
    <row r="441" spans="1:22" x14ac:dyDescent="0.3">
      <c r="A441" t="s">
        <v>598</v>
      </c>
      <c r="B441">
        <v>2024</v>
      </c>
      <c r="C441" t="s">
        <v>84</v>
      </c>
      <c r="D441" t="s">
        <v>69</v>
      </c>
      <c r="E441" t="s">
        <v>36</v>
      </c>
      <c r="F441" t="s">
        <v>26</v>
      </c>
      <c r="G441" t="s">
        <v>45</v>
      </c>
      <c r="H441" t="s">
        <v>41</v>
      </c>
      <c r="I441" t="s">
        <v>71</v>
      </c>
      <c r="J441">
        <v>5</v>
      </c>
      <c r="K441">
        <v>3</v>
      </c>
      <c r="L441">
        <v>9.1999999999999993</v>
      </c>
      <c r="M441" t="s">
        <v>47</v>
      </c>
      <c r="N441">
        <v>5</v>
      </c>
      <c r="O441">
        <v>76.06</v>
      </c>
      <c r="P441">
        <v>7</v>
      </c>
      <c r="Q441" t="s">
        <v>41</v>
      </c>
      <c r="R441">
        <v>5</v>
      </c>
      <c r="S441" t="s">
        <v>31</v>
      </c>
      <c r="T441">
        <v>7.3</v>
      </c>
      <c r="U441" t="s">
        <v>31</v>
      </c>
      <c r="V441" t="s">
        <v>32</v>
      </c>
    </row>
    <row r="442" spans="1:22" x14ac:dyDescent="0.3">
      <c r="A442" t="s">
        <v>599</v>
      </c>
      <c r="B442">
        <v>2025</v>
      </c>
      <c r="C442" t="s">
        <v>80</v>
      </c>
      <c r="D442" t="s">
        <v>89</v>
      </c>
      <c r="E442" t="s">
        <v>86</v>
      </c>
      <c r="F442" t="s">
        <v>87</v>
      </c>
      <c r="G442" t="s">
        <v>55</v>
      </c>
      <c r="H442" t="s">
        <v>31</v>
      </c>
      <c r="I442" t="s">
        <v>90</v>
      </c>
      <c r="J442">
        <v>39</v>
      </c>
      <c r="K442">
        <v>6.9</v>
      </c>
      <c r="L442">
        <v>12.4</v>
      </c>
      <c r="M442" t="s">
        <v>30</v>
      </c>
      <c r="N442">
        <v>4</v>
      </c>
      <c r="O442">
        <v>52.55</v>
      </c>
      <c r="P442">
        <v>5</v>
      </c>
      <c r="Q442" t="s">
        <v>39</v>
      </c>
      <c r="R442">
        <v>7</v>
      </c>
      <c r="S442" t="s">
        <v>31</v>
      </c>
      <c r="T442">
        <v>5.2</v>
      </c>
      <c r="U442" t="s">
        <v>28</v>
      </c>
      <c r="V442" t="s">
        <v>51</v>
      </c>
    </row>
    <row r="443" spans="1:22" x14ac:dyDescent="0.3">
      <c r="A443" t="s">
        <v>600</v>
      </c>
      <c r="B443">
        <v>2025</v>
      </c>
      <c r="C443" t="s">
        <v>196</v>
      </c>
      <c r="D443" t="s">
        <v>35</v>
      </c>
      <c r="E443" t="s">
        <v>36</v>
      </c>
      <c r="F443" t="s">
        <v>60</v>
      </c>
      <c r="G443" t="s">
        <v>55</v>
      </c>
      <c r="H443" t="s">
        <v>31</v>
      </c>
      <c r="I443" t="s">
        <v>61</v>
      </c>
      <c r="J443">
        <v>18</v>
      </c>
      <c r="K443">
        <v>2.5</v>
      </c>
      <c r="L443">
        <v>1.5</v>
      </c>
      <c r="M443" t="s">
        <v>288</v>
      </c>
      <c r="N443">
        <v>17</v>
      </c>
      <c r="O443">
        <v>45.3</v>
      </c>
      <c r="P443">
        <v>6</v>
      </c>
      <c r="Q443" t="s">
        <v>41</v>
      </c>
      <c r="R443">
        <v>6</v>
      </c>
      <c r="S443" t="s">
        <v>28</v>
      </c>
      <c r="T443">
        <v>7.9</v>
      </c>
      <c r="U443" t="s">
        <v>39</v>
      </c>
      <c r="V443" t="s">
        <v>32</v>
      </c>
    </row>
    <row r="444" spans="1:22" x14ac:dyDescent="0.3">
      <c r="A444" t="s">
        <v>601</v>
      </c>
      <c r="B444">
        <v>2025</v>
      </c>
      <c r="C444" t="s">
        <v>53</v>
      </c>
      <c r="D444" t="s">
        <v>69</v>
      </c>
      <c r="E444" t="s">
        <v>82</v>
      </c>
      <c r="F444" t="s">
        <v>70</v>
      </c>
      <c r="G444" t="s">
        <v>27</v>
      </c>
      <c r="H444" t="s">
        <v>41</v>
      </c>
      <c r="I444" t="s">
        <v>90</v>
      </c>
      <c r="J444">
        <v>12</v>
      </c>
      <c r="K444">
        <v>1.3</v>
      </c>
      <c r="L444">
        <v>-6.5</v>
      </c>
      <c r="M444" t="s">
        <v>47</v>
      </c>
      <c r="N444">
        <v>8</v>
      </c>
      <c r="O444">
        <v>19.489999999999998</v>
      </c>
      <c r="P444">
        <v>7</v>
      </c>
      <c r="Q444" t="s">
        <v>39</v>
      </c>
      <c r="R444">
        <v>5</v>
      </c>
      <c r="S444" t="s">
        <v>41</v>
      </c>
      <c r="T444">
        <v>10</v>
      </c>
      <c r="U444" t="s">
        <v>41</v>
      </c>
      <c r="V444" t="s">
        <v>32</v>
      </c>
    </row>
    <row r="445" spans="1:22" x14ac:dyDescent="0.3">
      <c r="A445" t="s">
        <v>602</v>
      </c>
      <c r="B445">
        <v>2026</v>
      </c>
      <c r="C445" t="s">
        <v>80</v>
      </c>
      <c r="D445" t="s">
        <v>69</v>
      </c>
      <c r="E445" t="s">
        <v>25</v>
      </c>
      <c r="F445" t="s">
        <v>132</v>
      </c>
      <c r="G445" t="s">
        <v>38</v>
      </c>
      <c r="H445" t="s">
        <v>28</v>
      </c>
      <c r="I445" t="s">
        <v>46</v>
      </c>
      <c r="J445">
        <v>110</v>
      </c>
      <c r="K445">
        <v>9.9</v>
      </c>
      <c r="L445">
        <v>16.899999999999999</v>
      </c>
      <c r="M445" t="s">
        <v>50</v>
      </c>
      <c r="N445">
        <v>15</v>
      </c>
      <c r="O445">
        <v>139.74</v>
      </c>
      <c r="P445">
        <v>9</v>
      </c>
      <c r="Q445" t="s">
        <v>31</v>
      </c>
      <c r="R445">
        <v>6</v>
      </c>
      <c r="S445" t="s">
        <v>28</v>
      </c>
      <c r="T445">
        <v>5.9</v>
      </c>
      <c r="U445" t="s">
        <v>31</v>
      </c>
      <c r="V445" t="s">
        <v>32</v>
      </c>
    </row>
    <row r="446" spans="1:22" x14ac:dyDescent="0.3">
      <c r="A446" t="s">
        <v>603</v>
      </c>
      <c r="B446">
        <v>2026</v>
      </c>
      <c r="C446" t="s">
        <v>23</v>
      </c>
      <c r="D446" t="s">
        <v>156</v>
      </c>
      <c r="E446" t="s">
        <v>86</v>
      </c>
      <c r="F446" t="s">
        <v>60</v>
      </c>
      <c r="G446" t="s">
        <v>27</v>
      </c>
      <c r="H446" t="s">
        <v>28</v>
      </c>
      <c r="I446" t="s">
        <v>61</v>
      </c>
      <c r="J446">
        <v>45</v>
      </c>
      <c r="K446">
        <v>5.3</v>
      </c>
      <c r="L446">
        <v>18.5</v>
      </c>
      <c r="M446" t="s">
        <v>30</v>
      </c>
      <c r="N446">
        <v>18</v>
      </c>
      <c r="O446">
        <v>107.59</v>
      </c>
      <c r="P446">
        <v>8</v>
      </c>
      <c r="Q446" t="s">
        <v>31</v>
      </c>
      <c r="R446">
        <v>6</v>
      </c>
      <c r="S446" t="s">
        <v>28</v>
      </c>
      <c r="T446">
        <v>5.2</v>
      </c>
      <c r="U446" t="s">
        <v>31</v>
      </c>
      <c r="V446" t="s">
        <v>72</v>
      </c>
    </row>
    <row r="447" spans="1:22" x14ac:dyDescent="0.3">
      <c r="A447" t="s">
        <v>604</v>
      </c>
      <c r="B447">
        <v>2026</v>
      </c>
      <c r="C447" t="s">
        <v>80</v>
      </c>
      <c r="D447" t="s">
        <v>43</v>
      </c>
      <c r="E447" t="s">
        <v>36</v>
      </c>
      <c r="F447" t="s">
        <v>64</v>
      </c>
      <c r="G447" t="s">
        <v>55</v>
      </c>
      <c r="H447" t="s">
        <v>31</v>
      </c>
      <c r="I447" t="s">
        <v>46</v>
      </c>
      <c r="J447">
        <v>19</v>
      </c>
      <c r="K447">
        <v>5</v>
      </c>
      <c r="L447">
        <v>4.8</v>
      </c>
      <c r="M447" t="s">
        <v>30</v>
      </c>
      <c r="N447">
        <v>23</v>
      </c>
      <c r="O447">
        <v>38.51</v>
      </c>
      <c r="P447">
        <v>5</v>
      </c>
      <c r="Q447" t="s">
        <v>31</v>
      </c>
      <c r="R447">
        <v>4</v>
      </c>
      <c r="S447" t="s">
        <v>28</v>
      </c>
      <c r="T447">
        <v>4.0999999999999996</v>
      </c>
      <c r="U447" t="s">
        <v>28</v>
      </c>
      <c r="V447" t="s">
        <v>51</v>
      </c>
    </row>
    <row r="448" spans="1:22" x14ac:dyDescent="0.3">
      <c r="A448" t="s">
        <v>605</v>
      </c>
      <c r="B448">
        <v>2024</v>
      </c>
      <c r="C448" t="s">
        <v>68</v>
      </c>
      <c r="D448" t="s">
        <v>69</v>
      </c>
      <c r="E448" t="s">
        <v>36</v>
      </c>
      <c r="F448" t="s">
        <v>132</v>
      </c>
      <c r="G448" t="s">
        <v>27</v>
      </c>
      <c r="H448" t="s">
        <v>31</v>
      </c>
      <c r="I448" t="s">
        <v>40</v>
      </c>
      <c r="J448">
        <v>14</v>
      </c>
      <c r="K448">
        <v>2.8</v>
      </c>
      <c r="L448">
        <v>-15.8</v>
      </c>
      <c r="M448" t="s">
        <v>47</v>
      </c>
      <c r="N448">
        <v>3</v>
      </c>
      <c r="O448">
        <v>40.68</v>
      </c>
      <c r="P448">
        <v>2</v>
      </c>
      <c r="Q448" t="s">
        <v>28</v>
      </c>
      <c r="R448">
        <v>5</v>
      </c>
      <c r="S448" t="s">
        <v>31</v>
      </c>
      <c r="T448">
        <v>13.1</v>
      </c>
      <c r="U448" t="s">
        <v>28</v>
      </c>
      <c r="V448" t="s">
        <v>125</v>
      </c>
    </row>
    <row r="449" spans="1:22" x14ac:dyDescent="0.3">
      <c r="A449" t="s">
        <v>606</v>
      </c>
      <c r="B449">
        <v>2026</v>
      </c>
      <c r="C449" t="s">
        <v>117</v>
      </c>
      <c r="D449" t="s">
        <v>24</v>
      </c>
      <c r="E449" t="s">
        <v>82</v>
      </c>
      <c r="F449" t="s">
        <v>132</v>
      </c>
      <c r="G449" t="s">
        <v>55</v>
      </c>
      <c r="H449" t="s">
        <v>39</v>
      </c>
      <c r="I449" t="s">
        <v>71</v>
      </c>
      <c r="J449">
        <v>120</v>
      </c>
      <c r="K449">
        <v>26</v>
      </c>
      <c r="L449">
        <v>31.8</v>
      </c>
      <c r="M449" t="s">
        <v>50</v>
      </c>
      <c r="N449">
        <v>41</v>
      </c>
      <c r="O449">
        <v>216.04</v>
      </c>
      <c r="P449">
        <v>9</v>
      </c>
      <c r="Q449" t="s">
        <v>41</v>
      </c>
      <c r="R449">
        <v>7</v>
      </c>
      <c r="S449" t="s">
        <v>91</v>
      </c>
      <c r="T449">
        <v>12.7</v>
      </c>
      <c r="U449" t="s">
        <v>41</v>
      </c>
      <c r="V449" t="s">
        <v>72</v>
      </c>
    </row>
    <row r="450" spans="1:22" x14ac:dyDescent="0.3">
      <c r="A450" t="s">
        <v>607</v>
      </c>
      <c r="B450">
        <v>2026</v>
      </c>
      <c r="C450" t="s">
        <v>101</v>
      </c>
      <c r="D450" t="s">
        <v>63</v>
      </c>
      <c r="E450" t="s">
        <v>36</v>
      </c>
      <c r="F450" t="s">
        <v>98</v>
      </c>
      <c r="G450" t="s">
        <v>38</v>
      </c>
      <c r="H450" t="s">
        <v>39</v>
      </c>
      <c r="I450" t="s">
        <v>71</v>
      </c>
      <c r="J450">
        <v>108</v>
      </c>
      <c r="K450">
        <v>23.9</v>
      </c>
      <c r="L450">
        <v>23.8</v>
      </c>
      <c r="M450" t="s">
        <v>50</v>
      </c>
      <c r="N450">
        <v>32</v>
      </c>
      <c r="O450">
        <v>184.4</v>
      </c>
      <c r="P450">
        <v>8</v>
      </c>
      <c r="Q450" t="s">
        <v>41</v>
      </c>
      <c r="R450">
        <v>8</v>
      </c>
      <c r="S450" t="s">
        <v>91</v>
      </c>
      <c r="T450">
        <v>4.4000000000000004</v>
      </c>
      <c r="U450" t="s">
        <v>28</v>
      </c>
      <c r="V450" t="s">
        <v>72</v>
      </c>
    </row>
    <row r="451" spans="1:22" x14ac:dyDescent="0.3">
      <c r="A451" t="s">
        <v>608</v>
      </c>
      <c r="B451">
        <v>2026</v>
      </c>
      <c r="C451" t="s">
        <v>34</v>
      </c>
      <c r="D451" t="s">
        <v>102</v>
      </c>
      <c r="E451" t="s">
        <v>86</v>
      </c>
      <c r="F451" t="s">
        <v>141</v>
      </c>
      <c r="G451" t="s">
        <v>27</v>
      </c>
      <c r="H451" t="s">
        <v>41</v>
      </c>
      <c r="I451" t="s">
        <v>49</v>
      </c>
      <c r="J451">
        <v>4</v>
      </c>
      <c r="K451">
        <v>0.9</v>
      </c>
      <c r="L451">
        <v>19.100000000000001</v>
      </c>
      <c r="M451" t="s">
        <v>47</v>
      </c>
      <c r="N451">
        <v>15</v>
      </c>
      <c r="O451">
        <v>14.45</v>
      </c>
      <c r="P451">
        <v>7</v>
      </c>
      <c r="Q451" t="s">
        <v>28</v>
      </c>
      <c r="R451">
        <v>6</v>
      </c>
      <c r="S451" t="s">
        <v>31</v>
      </c>
      <c r="T451">
        <v>10.199999999999999</v>
      </c>
      <c r="U451" t="s">
        <v>28</v>
      </c>
      <c r="V451" t="s">
        <v>51</v>
      </c>
    </row>
    <row r="452" spans="1:22" x14ac:dyDescent="0.3">
      <c r="A452" t="s">
        <v>609</v>
      </c>
      <c r="B452">
        <v>2026</v>
      </c>
      <c r="C452" t="s">
        <v>101</v>
      </c>
      <c r="D452" t="s">
        <v>59</v>
      </c>
      <c r="E452" t="s">
        <v>86</v>
      </c>
      <c r="F452" t="s">
        <v>87</v>
      </c>
      <c r="G452" t="s">
        <v>27</v>
      </c>
      <c r="H452" t="s">
        <v>31</v>
      </c>
      <c r="I452" t="s">
        <v>90</v>
      </c>
      <c r="J452">
        <v>46</v>
      </c>
      <c r="K452">
        <v>16.5</v>
      </c>
      <c r="L452">
        <v>18.899999999999999</v>
      </c>
      <c r="M452" t="s">
        <v>288</v>
      </c>
      <c r="N452">
        <v>39</v>
      </c>
      <c r="O452">
        <v>49.04</v>
      </c>
      <c r="P452">
        <v>0</v>
      </c>
      <c r="Q452" t="s">
        <v>31</v>
      </c>
      <c r="R452">
        <v>7</v>
      </c>
      <c r="S452" t="s">
        <v>28</v>
      </c>
      <c r="T452">
        <v>4.5</v>
      </c>
      <c r="U452" t="s">
        <v>31</v>
      </c>
      <c r="V452" t="s">
        <v>32</v>
      </c>
    </row>
    <row r="453" spans="1:22" x14ac:dyDescent="0.3">
      <c r="A453" t="s">
        <v>610</v>
      </c>
      <c r="B453">
        <v>2024</v>
      </c>
      <c r="C453" t="s">
        <v>68</v>
      </c>
      <c r="D453" t="s">
        <v>89</v>
      </c>
      <c r="E453" t="s">
        <v>82</v>
      </c>
      <c r="F453" t="s">
        <v>64</v>
      </c>
      <c r="G453" t="s">
        <v>45</v>
      </c>
      <c r="H453" t="s">
        <v>41</v>
      </c>
      <c r="I453" t="s">
        <v>90</v>
      </c>
      <c r="J453">
        <v>8</v>
      </c>
      <c r="K453">
        <v>0.7</v>
      </c>
      <c r="L453">
        <v>15.9</v>
      </c>
      <c r="M453" t="s">
        <v>30</v>
      </c>
      <c r="N453">
        <v>1</v>
      </c>
      <c r="O453">
        <v>39.97</v>
      </c>
      <c r="P453">
        <v>7</v>
      </c>
      <c r="Q453" t="s">
        <v>28</v>
      </c>
      <c r="R453">
        <v>7</v>
      </c>
      <c r="S453" t="s">
        <v>31</v>
      </c>
      <c r="T453">
        <v>4.3</v>
      </c>
      <c r="U453" t="s">
        <v>31</v>
      </c>
      <c r="V453" t="s">
        <v>32</v>
      </c>
    </row>
    <row r="454" spans="1:22" x14ac:dyDescent="0.3">
      <c r="A454" t="s">
        <v>611</v>
      </c>
      <c r="B454">
        <v>2026</v>
      </c>
      <c r="C454" t="s">
        <v>58</v>
      </c>
      <c r="D454" t="s">
        <v>81</v>
      </c>
      <c r="E454" t="s">
        <v>25</v>
      </c>
      <c r="F454" t="s">
        <v>60</v>
      </c>
      <c r="G454" t="s">
        <v>55</v>
      </c>
      <c r="H454" t="s">
        <v>28</v>
      </c>
      <c r="I454" t="s">
        <v>71</v>
      </c>
      <c r="J454">
        <v>72</v>
      </c>
      <c r="K454">
        <v>7.7</v>
      </c>
      <c r="L454">
        <v>25.9</v>
      </c>
      <c r="M454" t="s">
        <v>30</v>
      </c>
      <c r="N454">
        <v>56</v>
      </c>
      <c r="O454">
        <v>406.99</v>
      </c>
      <c r="P454">
        <v>6</v>
      </c>
      <c r="Q454" t="s">
        <v>28</v>
      </c>
      <c r="R454">
        <v>5</v>
      </c>
      <c r="S454" t="s">
        <v>31</v>
      </c>
      <c r="T454">
        <v>7.4</v>
      </c>
      <c r="U454" t="s">
        <v>39</v>
      </c>
      <c r="V454" t="s">
        <v>32</v>
      </c>
    </row>
    <row r="455" spans="1:22" x14ac:dyDescent="0.3">
      <c r="A455" t="s">
        <v>612</v>
      </c>
      <c r="B455">
        <v>2025</v>
      </c>
      <c r="C455" t="s">
        <v>134</v>
      </c>
      <c r="D455" t="s">
        <v>81</v>
      </c>
      <c r="E455" t="s">
        <v>36</v>
      </c>
      <c r="F455" t="s">
        <v>98</v>
      </c>
      <c r="G455" t="s">
        <v>38</v>
      </c>
      <c r="H455" t="s">
        <v>31</v>
      </c>
      <c r="I455" t="s">
        <v>56</v>
      </c>
      <c r="J455">
        <v>234</v>
      </c>
      <c r="K455">
        <v>1.1000000000000001</v>
      </c>
      <c r="L455">
        <v>-2.7</v>
      </c>
      <c r="M455" t="s">
        <v>47</v>
      </c>
      <c r="N455">
        <v>0</v>
      </c>
      <c r="O455">
        <v>14.74</v>
      </c>
      <c r="P455">
        <v>6</v>
      </c>
      <c r="Q455" t="s">
        <v>31</v>
      </c>
      <c r="R455">
        <v>6</v>
      </c>
      <c r="S455" t="s">
        <v>41</v>
      </c>
      <c r="T455">
        <v>3.8</v>
      </c>
      <c r="U455" t="s">
        <v>28</v>
      </c>
      <c r="V455" t="s">
        <v>32</v>
      </c>
    </row>
    <row r="456" spans="1:22" x14ac:dyDescent="0.3">
      <c r="A456" t="s">
        <v>613</v>
      </c>
      <c r="B456">
        <v>2026</v>
      </c>
      <c r="C456" t="s">
        <v>134</v>
      </c>
      <c r="D456" t="s">
        <v>69</v>
      </c>
      <c r="E456" t="s">
        <v>36</v>
      </c>
      <c r="F456" t="s">
        <v>132</v>
      </c>
      <c r="G456" t="s">
        <v>55</v>
      </c>
      <c r="H456" t="s">
        <v>31</v>
      </c>
      <c r="I456" t="s">
        <v>65</v>
      </c>
      <c r="J456">
        <v>16</v>
      </c>
      <c r="K456">
        <v>2.4</v>
      </c>
      <c r="L456">
        <v>-0.4</v>
      </c>
      <c r="M456" t="s">
        <v>50</v>
      </c>
      <c r="N456">
        <v>14</v>
      </c>
      <c r="O456">
        <v>53.02</v>
      </c>
      <c r="P456">
        <v>6</v>
      </c>
      <c r="Q456" t="s">
        <v>31</v>
      </c>
      <c r="R456">
        <v>4</v>
      </c>
      <c r="S456" t="s">
        <v>31</v>
      </c>
      <c r="T456">
        <v>7</v>
      </c>
      <c r="U456" t="s">
        <v>31</v>
      </c>
      <c r="V456" t="s">
        <v>51</v>
      </c>
    </row>
    <row r="457" spans="1:22" x14ac:dyDescent="0.3">
      <c r="A457" t="s">
        <v>614</v>
      </c>
      <c r="B457">
        <v>2025</v>
      </c>
      <c r="C457" t="s">
        <v>34</v>
      </c>
      <c r="D457" t="s">
        <v>615</v>
      </c>
      <c r="E457" t="s">
        <v>190</v>
      </c>
      <c r="F457" t="s">
        <v>87</v>
      </c>
      <c r="G457" t="s">
        <v>38</v>
      </c>
      <c r="H457" t="s">
        <v>31</v>
      </c>
      <c r="I457" t="s">
        <v>46</v>
      </c>
      <c r="J457">
        <v>11</v>
      </c>
      <c r="K457">
        <v>1.5</v>
      </c>
      <c r="L457">
        <v>-3.4</v>
      </c>
      <c r="M457" t="s">
        <v>47</v>
      </c>
      <c r="N457">
        <v>35</v>
      </c>
      <c r="O457">
        <v>89.69</v>
      </c>
      <c r="P457">
        <v>7</v>
      </c>
      <c r="Q457" t="s">
        <v>41</v>
      </c>
      <c r="R457">
        <v>4</v>
      </c>
      <c r="S457" t="s">
        <v>31</v>
      </c>
      <c r="T457">
        <v>5.9</v>
      </c>
      <c r="U457" t="s">
        <v>31</v>
      </c>
      <c r="V457" t="s">
        <v>51</v>
      </c>
    </row>
    <row r="458" spans="1:22" x14ac:dyDescent="0.3">
      <c r="A458" t="s">
        <v>616</v>
      </c>
      <c r="B458">
        <v>2026</v>
      </c>
      <c r="C458" t="s">
        <v>117</v>
      </c>
      <c r="D458" t="s">
        <v>63</v>
      </c>
      <c r="E458" t="s">
        <v>36</v>
      </c>
      <c r="F458" t="s">
        <v>44</v>
      </c>
      <c r="G458" t="s">
        <v>45</v>
      </c>
      <c r="H458" t="s">
        <v>28</v>
      </c>
      <c r="I458" t="s">
        <v>46</v>
      </c>
      <c r="J458">
        <v>32</v>
      </c>
      <c r="K458">
        <v>14.4</v>
      </c>
      <c r="L458">
        <v>18.8</v>
      </c>
      <c r="M458" t="s">
        <v>30</v>
      </c>
      <c r="N458">
        <v>9</v>
      </c>
      <c r="O458">
        <v>164.24</v>
      </c>
      <c r="P458">
        <v>6</v>
      </c>
      <c r="Q458" t="s">
        <v>31</v>
      </c>
      <c r="R458">
        <v>6</v>
      </c>
      <c r="S458" t="s">
        <v>291</v>
      </c>
      <c r="T458">
        <v>6.3</v>
      </c>
      <c r="U458" t="s">
        <v>31</v>
      </c>
      <c r="V458" t="s">
        <v>72</v>
      </c>
    </row>
    <row r="459" spans="1:22" x14ac:dyDescent="0.3">
      <c r="A459" t="s">
        <v>617</v>
      </c>
      <c r="B459">
        <v>2026</v>
      </c>
      <c r="C459" t="s">
        <v>53</v>
      </c>
      <c r="D459" t="s">
        <v>81</v>
      </c>
      <c r="E459" t="s">
        <v>253</v>
      </c>
      <c r="F459" t="s">
        <v>64</v>
      </c>
      <c r="G459" t="s">
        <v>76</v>
      </c>
      <c r="H459" t="s">
        <v>31</v>
      </c>
      <c r="I459" t="s">
        <v>71</v>
      </c>
      <c r="J459">
        <v>35</v>
      </c>
      <c r="K459">
        <v>9.8000000000000007</v>
      </c>
      <c r="L459">
        <v>18.5</v>
      </c>
      <c r="M459" t="s">
        <v>30</v>
      </c>
      <c r="N459">
        <v>18</v>
      </c>
      <c r="O459">
        <v>83.68</v>
      </c>
      <c r="P459">
        <v>4</v>
      </c>
      <c r="Q459" t="s">
        <v>31</v>
      </c>
      <c r="R459">
        <v>5</v>
      </c>
      <c r="S459" t="s">
        <v>31</v>
      </c>
      <c r="T459">
        <v>10.9</v>
      </c>
      <c r="U459" t="s">
        <v>39</v>
      </c>
      <c r="V459" t="s">
        <v>32</v>
      </c>
    </row>
    <row r="460" spans="1:22" x14ac:dyDescent="0.3">
      <c r="A460" t="s">
        <v>618</v>
      </c>
      <c r="B460">
        <v>2025</v>
      </c>
      <c r="C460" t="s">
        <v>53</v>
      </c>
      <c r="D460" t="s">
        <v>89</v>
      </c>
      <c r="E460" t="s">
        <v>86</v>
      </c>
      <c r="F460" t="s">
        <v>60</v>
      </c>
      <c r="G460" t="s">
        <v>38</v>
      </c>
      <c r="H460" t="s">
        <v>31</v>
      </c>
      <c r="I460" t="s">
        <v>61</v>
      </c>
      <c r="J460">
        <v>27</v>
      </c>
      <c r="K460">
        <v>2.7</v>
      </c>
      <c r="L460">
        <v>2.5</v>
      </c>
      <c r="M460" t="s">
        <v>47</v>
      </c>
      <c r="N460">
        <v>0</v>
      </c>
      <c r="O460">
        <v>51.12</v>
      </c>
      <c r="P460">
        <v>3</v>
      </c>
      <c r="Q460" t="s">
        <v>31</v>
      </c>
      <c r="R460">
        <v>4</v>
      </c>
      <c r="S460" t="s">
        <v>31</v>
      </c>
      <c r="T460">
        <v>9.9</v>
      </c>
      <c r="U460" t="s">
        <v>39</v>
      </c>
      <c r="V460" t="s">
        <v>125</v>
      </c>
    </row>
    <row r="461" spans="1:22" x14ac:dyDescent="0.3">
      <c r="A461" t="s">
        <v>619</v>
      </c>
      <c r="B461">
        <v>2024</v>
      </c>
      <c r="C461" t="s">
        <v>101</v>
      </c>
      <c r="D461" t="s">
        <v>81</v>
      </c>
      <c r="E461" t="s">
        <v>86</v>
      </c>
      <c r="F461" t="s">
        <v>60</v>
      </c>
      <c r="G461" t="s">
        <v>55</v>
      </c>
      <c r="H461" t="s">
        <v>31</v>
      </c>
      <c r="I461" t="s">
        <v>61</v>
      </c>
      <c r="J461">
        <v>20</v>
      </c>
      <c r="K461">
        <v>3.3</v>
      </c>
      <c r="L461">
        <v>9.9</v>
      </c>
      <c r="M461" t="s">
        <v>30</v>
      </c>
      <c r="N461">
        <v>7</v>
      </c>
      <c r="O461">
        <v>38.630000000000003</v>
      </c>
      <c r="P461">
        <v>7</v>
      </c>
      <c r="Q461" t="s">
        <v>28</v>
      </c>
      <c r="R461">
        <v>5</v>
      </c>
      <c r="S461" t="s">
        <v>31</v>
      </c>
      <c r="T461">
        <v>17.8</v>
      </c>
      <c r="U461" t="s">
        <v>31</v>
      </c>
      <c r="V461" t="s">
        <v>51</v>
      </c>
    </row>
    <row r="462" spans="1:22" x14ac:dyDescent="0.3">
      <c r="A462" t="s">
        <v>620</v>
      </c>
      <c r="B462">
        <v>2026</v>
      </c>
      <c r="C462" t="s">
        <v>53</v>
      </c>
      <c r="D462" t="s">
        <v>69</v>
      </c>
      <c r="E462" t="s">
        <v>82</v>
      </c>
      <c r="F462" t="s">
        <v>113</v>
      </c>
      <c r="G462" t="s">
        <v>55</v>
      </c>
      <c r="H462" t="s">
        <v>41</v>
      </c>
      <c r="I462" t="s">
        <v>56</v>
      </c>
      <c r="J462">
        <v>8</v>
      </c>
      <c r="K462">
        <v>1.1000000000000001</v>
      </c>
      <c r="L462">
        <v>3.5</v>
      </c>
      <c r="M462" t="s">
        <v>47</v>
      </c>
      <c r="N462">
        <v>0</v>
      </c>
      <c r="O462">
        <v>5.0599999999999996</v>
      </c>
      <c r="P462">
        <v>5</v>
      </c>
      <c r="Q462" t="s">
        <v>39</v>
      </c>
      <c r="R462">
        <v>6</v>
      </c>
      <c r="S462" t="s">
        <v>41</v>
      </c>
      <c r="T462">
        <v>5.8</v>
      </c>
      <c r="U462" t="s">
        <v>41</v>
      </c>
      <c r="V462" t="s">
        <v>32</v>
      </c>
    </row>
    <row r="463" spans="1:22" x14ac:dyDescent="0.3">
      <c r="A463" t="s">
        <v>621</v>
      </c>
      <c r="B463">
        <v>2026</v>
      </c>
      <c r="C463" t="s">
        <v>129</v>
      </c>
      <c r="D463" t="s">
        <v>81</v>
      </c>
      <c r="E463" t="s">
        <v>36</v>
      </c>
      <c r="F463" t="s">
        <v>37</v>
      </c>
      <c r="G463" t="s">
        <v>45</v>
      </c>
      <c r="H463" t="s">
        <v>31</v>
      </c>
      <c r="I463" t="s">
        <v>40</v>
      </c>
      <c r="J463">
        <v>14</v>
      </c>
      <c r="K463">
        <v>2.8</v>
      </c>
      <c r="L463">
        <v>16.8</v>
      </c>
      <c r="M463" t="s">
        <v>30</v>
      </c>
      <c r="N463">
        <v>19</v>
      </c>
      <c r="O463">
        <v>56.08</v>
      </c>
      <c r="P463">
        <v>4</v>
      </c>
      <c r="Q463" t="s">
        <v>39</v>
      </c>
      <c r="R463">
        <v>4</v>
      </c>
      <c r="S463" t="s">
        <v>31</v>
      </c>
      <c r="T463">
        <v>6.2</v>
      </c>
      <c r="U463" t="s">
        <v>28</v>
      </c>
      <c r="V463" t="s">
        <v>125</v>
      </c>
    </row>
    <row r="464" spans="1:22" x14ac:dyDescent="0.3">
      <c r="A464" t="s">
        <v>622</v>
      </c>
      <c r="B464">
        <v>2025</v>
      </c>
      <c r="C464" t="s">
        <v>217</v>
      </c>
      <c r="D464" t="s">
        <v>81</v>
      </c>
      <c r="E464" t="s">
        <v>86</v>
      </c>
      <c r="F464" t="s">
        <v>120</v>
      </c>
      <c r="G464" t="s">
        <v>76</v>
      </c>
      <c r="H464" t="s">
        <v>28</v>
      </c>
      <c r="I464" t="s">
        <v>90</v>
      </c>
      <c r="J464">
        <v>27</v>
      </c>
      <c r="K464">
        <v>6.9</v>
      </c>
      <c r="L464">
        <v>10.9</v>
      </c>
      <c r="M464" t="s">
        <v>30</v>
      </c>
      <c r="N464">
        <v>1</v>
      </c>
      <c r="O464">
        <v>55.44</v>
      </c>
      <c r="P464">
        <v>4</v>
      </c>
      <c r="Q464" t="s">
        <v>28</v>
      </c>
      <c r="R464">
        <v>7</v>
      </c>
      <c r="S464" t="s">
        <v>28</v>
      </c>
      <c r="T464">
        <v>7.9</v>
      </c>
      <c r="U464" t="s">
        <v>39</v>
      </c>
      <c r="V464" t="s">
        <v>51</v>
      </c>
    </row>
    <row r="465" spans="1:22" x14ac:dyDescent="0.3">
      <c r="A465" t="s">
        <v>623</v>
      </c>
      <c r="B465">
        <v>2026</v>
      </c>
      <c r="C465" t="s">
        <v>74</v>
      </c>
      <c r="D465" t="s">
        <v>63</v>
      </c>
      <c r="E465" t="s">
        <v>36</v>
      </c>
      <c r="F465" t="s">
        <v>132</v>
      </c>
      <c r="G465" t="s">
        <v>38</v>
      </c>
      <c r="H465" t="s">
        <v>31</v>
      </c>
      <c r="I465" t="s">
        <v>46</v>
      </c>
      <c r="J465">
        <v>19</v>
      </c>
      <c r="K465">
        <v>1.9</v>
      </c>
      <c r="L465">
        <v>-4</v>
      </c>
      <c r="M465" t="s">
        <v>47</v>
      </c>
      <c r="N465">
        <v>16</v>
      </c>
      <c r="O465">
        <v>20.18</v>
      </c>
      <c r="P465">
        <v>3</v>
      </c>
      <c r="Q465" t="s">
        <v>31</v>
      </c>
      <c r="R465">
        <v>4</v>
      </c>
      <c r="S465" t="s">
        <v>41</v>
      </c>
      <c r="T465">
        <v>8.1999999999999993</v>
      </c>
      <c r="U465" t="s">
        <v>28</v>
      </c>
      <c r="V465" t="s">
        <v>51</v>
      </c>
    </row>
    <row r="466" spans="1:22" x14ac:dyDescent="0.3">
      <c r="A466" t="s">
        <v>624</v>
      </c>
      <c r="B466">
        <v>2026</v>
      </c>
      <c r="C466" t="s">
        <v>101</v>
      </c>
      <c r="D466" t="s">
        <v>102</v>
      </c>
      <c r="E466" t="s">
        <v>36</v>
      </c>
      <c r="F466" t="s">
        <v>141</v>
      </c>
      <c r="G466" t="s">
        <v>45</v>
      </c>
      <c r="H466" t="s">
        <v>31</v>
      </c>
      <c r="I466" t="s">
        <v>49</v>
      </c>
      <c r="J466">
        <v>15</v>
      </c>
      <c r="K466">
        <v>1.3</v>
      </c>
      <c r="L466">
        <v>17</v>
      </c>
      <c r="M466" t="s">
        <v>30</v>
      </c>
      <c r="N466">
        <v>9</v>
      </c>
      <c r="O466">
        <v>32</v>
      </c>
      <c r="P466">
        <v>8</v>
      </c>
      <c r="Q466" t="s">
        <v>39</v>
      </c>
      <c r="R466">
        <v>4</v>
      </c>
      <c r="S466" t="s">
        <v>31</v>
      </c>
      <c r="T466">
        <v>8.4</v>
      </c>
      <c r="U466" t="s">
        <v>41</v>
      </c>
      <c r="V466" t="s">
        <v>51</v>
      </c>
    </row>
    <row r="467" spans="1:22" x14ac:dyDescent="0.3">
      <c r="A467" t="s">
        <v>625</v>
      </c>
      <c r="B467">
        <v>2026</v>
      </c>
      <c r="C467" t="s">
        <v>74</v>
      </c>
      <c r="D467" t="s">
        <v>69</v>
      </c>
      <c r="E467" t="s">
        <v>25</v>
      </c>
      <c r="F467" t="s">
        <v>64</v>
      </c>
      <c r="G467" t="s">
        <v>55</v>
      </c>
      <c r="H467" t="s">
        <v>31</v>
      </c>
      <c r="I467" t="s">
        <v>46</v>
      </c>
      <c r="J467">
        <v>17</v>
      </c>
      <c r="K467">
        <v>4</v>
      </c>
      <c r="L467">
        <v>14.6</v>
      </c>
      <c r="M467" t="s">
        <v>30</v>
      </c>
      <c r="N467">
        <v>7</v>
      </c>
      <c r="O467">
        <v>43.37</v>
      </c>
      <c r="P467">
        <v>7</v>
      </c>
      <c r="Q467" t="s">
        <v>39</v>
      </c>
      <c r="R467">
        <v>6</v>
      </c>
      <c r="S467" t="s">
        <v>31</v>
      </c>
      <c r="T467">
        <v>4.5999999999999996</v>
      </c>
      <c r="U467" t="s">
        <v>39</v>
      </c>
      <c r="V467" t="s">
        <v>32</v>
      </c>
    </row>
    <row r="468" spans="1:22" x14ac:dyDescent="0.3">
      <c r="A468" t="s">
        <v>626</v>
      </c>
      <c r="B468">
        <v>2026</v>
      </c>
      <c r="C468" t="s">
        <v>80</v>
      </c>
      <c r="D468" t="s">
        <v>24</v>
      </c>
      <c r="E468" t="s">
        <v>86</v>
      </c>
      <c r="F468" t="s">
        <v>98</v>
      </c>
      <c r="G468" t="s">
        <v>55</v>
      </c>
      <c r="H468" t="s">
        <v>41</v>
      </c>
      <c r="I468" t="s">
        <v>90</v>
      </c>
      <c r="J468">
        <v>8</v>
      </c>
      <c r="K468">
        <v>0.6</v>
      </c>
      <c r="L468">
        <v>4.9000000000000004</v>
      </c>
      <c r="M468" t="s">
        <v>30</v>
      </c>
      <c r="N468">
        <v>6</v>
      </c>
      <c r="O468">
        <v>28.01</v>
      </c>
      <c r="P468">
        <v>8</v>
      </c>
      <c r="Q468" t="s">
        <v>41</v>
      </c>
      <c r="R468">
        <v>5</v>
      </c>
      <c r="S468" t="s">
        <v>31</v>
      </c>
      <c r="T468">
        <v>6.8</v>
      </c>
      <c r="U468" t="s">
        <v>31</v>
      </c>
      <c r="V468" t="s">
        <v>32</v>
      </c>
    </row>
    <row r="469" spans="1:22" x14ac:dyDescent="0.3">
      <c r="A469" t="s">
        <v>627</v>
      </c>
      <c r="B469">
        <v>2026</v>
      </c>
      <c r="C469" t="s">
        <v>217</v>
      </c>
      <c r="D469" t="s">
        <v>59</v>
      </c>
      <c r="E469" t="s">
        <v>86</v>
      </c>
      <c r="F469" t="s">
        <v>54</v>
      </c>
      <c r="G469" t="s">
        <v>38</v>
      </c>
      <c r="H469" t="s">
        <v>96</v>
      </c>
      <c r="I469" t="s">
        <v>56</v>
      </c>
      <c r="J469">
        <v>10</v>
      </c>
      <c r="K469">
        <v>0.6</v>
      </c>
      <c r="L469">
        <v>13.6</v>
      </c>
      <c r="M469" t="s">
        <v>47</v>
      </c>
      <c r="N469">
        <v>22</v>
      </c>
      <c r="O469">
        <v>11.45</v>
      </c>
      <c r="P469">
        <v>7</v>
      </c>
      <c r="Q469" t="s">
        <v>31</v>
      </c>
      <c r="R469">
        <v>5</v>
      </c>
      <c r="S469" t="s">
        <v>41</v>
      </c>
      <c r="T469">
        <v>5.2</v>
      </c>
      <c r="U469" t="s">
        <v>31</v>
      </c>
      <c r="V469" t="s">
        <v>32</v>
      </c>
    </row>
    <row r="470" spans="1:22" x14ac:dyDescent="0.3">
      <c r="A470" t="s">
        <v>628</v>
      </c>
      <c r="B470">
        <v>2026</v>
      </c>
      <c r="C470" t="s">
        <v>134</v>
      </c>
      <c r="D470" t="s">
        <v>81</v>
      </c>
      <c r="E470" t="s">
        <v>82</v>
      </c>
      <c r="F470" t="s">
        <v>64</v>
      </c>
      <c r="G470" t="s">
        <v>55</v>
      </c>
      <c r="H470" t="s">
        <v>39</v>
      </c>
      <c r="I470" t="s">
        <v>71</v>
      </c>
      <c r="J470">
        <v>150</v>
      </c>
      <c r="K470">
        <v>26</v>
      </c>
      <c r="L470">
        <v>39.200000000000003</v>
      </c>
      <c r="M470" t="s">
        <v>50</v>
      </c>
      <c r="N470">
        <v>41</v>
      </c>
      <c r="O470">
        <v>294.33</v>
      </c>
      <c r="P470">
        <v>9</v>
      </c>
      <c r="Q470" t="s">
        <v>28</v>
      </c>
      <c r="R470">
        <v>6</v>
      </c>
      <c r="S470" t="s">
        <v>91</v>
      </c>
      <c r="T470">
        <v>5.6</v>
      </c>
      <c r="U470" t="s">
        <v>629</v>
      </c>
      <c r="V470" t="s">
        <v>72</v>
      </c>
    </row>
    <row r="471" spans="1:22" x14ac:dyDescent="0.3">
      <c r="A471" t="s">
        <v>630</v>
      </c>
      <c r="B471">
        <v>2026</v>
      </c>
      <c r="C471" t="s">
        <v>84</v>
      </c>
      <c r="D471" t="s">
        <v>156</v>
      </c>
      <c r="E471" t="s">
        <v>82</v>
      </c>
      <c r="F471" t="s">
        <v>75</v>
      </c>
      <c r="G471" t="s">
        <v>38</v>
      </c>
      <c r="H471" t="s">
        <v>28</v>
      </c>
      <c r="I471" t="s">
        <v>71</v>
      </c>
      <c r="J471">
        <v>102</v>
      </c>
      <c r="K471">
        <v>19.8</v>
      </c>
      <c r="L471">
        <v>48.3</v>
      </c>
      <c r="M471" t="s">
        <v>50</v>
      </c>
      <c r="N471">
        <v>39</v>
      </c>
      <c r="O471">
        <v>170.56</v>
      </c>
      <c r="P471">
        <v>8</v>
      </c>
      <c r="Q471" t="s">
        <v>28</v>
      </c>
      <c r="R471">
        <v>7</v>
      </c>
      <c r="S471" t="s">
        <v>28</v>
      </c>
      <c r="T471">
        <v>14.9</v>
      </c>
      <c r="U471" t="s">
        <v>31</v>
      </c>
      <c r="V471" t="s">
        <v>72</v>
      </c>
    </row>
    <row r="472" spans="1:22" x14ac:dyDescent="0.3">
      <c r="A472" t="s">
        <v>631</v>
      </c>
      <c r="B472">
        <v>2026</v>
      </c>
      <c r="C472" t="s">
        <v>129</v>
      </c>
      <c r="D472" t="s">
        <v>102</v>
      </c>
      <c r="E472" t="s">
        <v>82</v>
      </c>
      <c r="F472" t="s">
        <v>87</v>
      </c>
      <c r="G472" t="s">
        <v>55</v>
      </c>
      <c r="H472" t="s">
        <v>31</v>
      </c>
      <c r="I472" t="s">
        <v>46</v>
      </c>
      <c r="J472">
        <v>18</v>
      </c>
      <c r="K472">
        <v>9.6999999999999993</v>
      </c>
      <c r="L472">
        <v>22.9</v>
      </c>
      <c r="M472" t="s">
        <v>50</v>
      </c>
      <c r="N472">
        <v>37</v>
      </c>
      <c r="O472">
        <v>42.68</v>
      </c>
      <c r="P472">
        <v>10</v>
      </c>
      <c r="Q472" t="s">
        <v>41</v>
      </c>
      <c r="R472">
        <v>9</v>
      </c>
      <c r="S472" t="s">
        <v>91</v>
      </c>
      <c r="T472">
        <v>6.5</v>
      </c>
      <c r="U472" t="s">
        <v>31</v>
      </c>
      <c r="V472" t="s">
        <v>72</v>
      </c>
    </row>
    <row r="473" spans="1:22" x14ac:dyDescent="0.3">
      <c r="A473" t="s">
        <v>632</v>
      </c>
      <c r="B473">
        <v>2026</v>
      </c>
      <c r="C473" t="s">
        <v>101</v>
      </c>
      <c r="D473" t="s">
        <v>156</v>
      </c>
      <c r="E473" t="s">
        <v>82</v>
      </c>
      <c r="F473" t="s">
        <v>98</v>
      </c>
      <c r="G473" t="s">
        <v>38</v>
      </c>
      <c r="H473" t="s">
        <v>28</v>
      </c>
      <c r="I473" t="s">
        <v>71</v>
      </c>
      <c r="J473">
        <v>37</v>
      </c>
      <c r="K473">
        <v>17.899999999999999</v>
      </c>
      <c r="L473">
        <v>3.8</v>
      </c>
      <c r="M473" t="s">
        <v>50</v>
      </c>
      <c r="N473">
        <v>3</v>
      </c>
      <c r="O473">
        <v>93.64</v>
      </c>
      <c r="P473">
        <v>7</v>
      </c>
      <c r="Q473" t="s">
        <v>28</v>
      </c>
      <c r="R473">
        <v>6</v>
      </c>
      <c r="S473" t="s">
        <v>91</v>
      </c>
      <c r="T473">
        <v>9.9</v>
      </c>
      <c r="U473" t="s">
        <v>31</v>
      </c>
      <c r="V473" t="s">
        <v>32</v>
      </c>
    </row>
    <row r="474" spans="1:22" x14ac:dyDescent="0.3">
      <c r="A474" t="s">
        <v>633</v>
      </c>
      <c r="B474">
        <v>2025</v>
      </c>
      <c r="C474" t="s">
        <v>129</v>
      </c>
      <c r="D474" t="s">
        <v>69</v>
      </c>
      <c r="E474" t="s">
        <v>25</v>
      </c>
      <c r="F474" t="s">
        <v>132</v>
      </c>
      <c r="G474" t="s">
        <v>55</v>
      </c>
      <c r="H474" t="s">
        <v>28</v>
      </c>
      <c r="I474" t="s">
        <v>90</v>
      </c>
      <c r="J474">
        <v>23</v>
      </c>
      <c r="K474">
        <v>5.6</v>
      </c>
      <c r="L474">
        <v>16.2</v>
      </c>
      <c r="M474" t="s">
        <v>47</v>
      </c>
      <c r="N474">
        <v>11</v>
      </c>
      <c r="O474">
        <v>62.19</v>
      </c>
      <c r="P474">
        <v>6</v>
      </c>
      <c r="Q474" t="s">
        <v>28</v>
      </c>
      <c r="R474">
        <v>5</v>
      </c>
      <c r="S474" t="s">
        <v>31</v>
      </c>
      <c r="T474">
        <v>9.6</v>
      </c>
      <c r="U474" t="s">
        <v>28</v>
      </c>
      <c r="V474" t="s">
        <v>51</v>
      </c>
    </row>
    <row r="475" spans="1:22" x14ac:dyDescent="0.3">
      <c r="A475" t="s">
        <v>634</v>
      </c>
      <c r="B475">
        <v>2026</v>
      </c>
      <c r="C475" t="s">
        <v>34</v>
      </c>
      <c r="D475" t="s">
        <v>24</v>
      </c>
      <c r="E475" t="s">
        <v>36</v>
      </c>
      <c r="F475" t="s">
        <v>60</v>
      </c>
      <c r="G475" t="s">
        <v>27</v>
      </c>
      <c r="H475" t="s">
        <v>31</v>
      </c>
      <c r="I475" t="s">
        <v>61</v>
      </c>
      <c r="J475">
        <v>43</v>
      </c>
      <c r="K475">
        <v>6.4</v>
      </c>
      <c r="L475">
        <v>24.8</v>
      </c>
      <c r="M475" t="s">
        <v>50</v>
      </c>
      <c r="N475">
        <v>17</v>
      </c>
      <c r="O475">
        <v>49.97</v>
      </c>
      <c r="P475">
        <v>7</v>
      </c>
      <c r="Q475" t="s">
        <v>28</v>
      </c>
      <c r="R475">
        <v>8</v>
      </c>
      <c r="S475" t="s">
        <v>28</v>
      </c>
      <c r="T475">
        <v>8</v>
      </c>
      <c r="U475" t="s">
        <v>31</v>
      </c>
      <c r="V475" t="s">
        <v>32</v>
      </c>
    </row>
    <row r="476" spans="1:22" x14ac:dyDescent="0.3">
      <c r="A476" t="s">
        <v>635</v>
      </c>
      <c r="B476">
        <v>2025</v>
      </c>
      <c r="C476" t="s">
        <v>94</v>
      </c>
      <c r="D476" t="s">
        <v>81</v>
      </c>
      <c r="E476" t="s">
        <v>190</v>
      </c>
      <c r="F476" t="s">
        <v>54</v>
      </c>
      <c r="G476" t="s">
        <v>38</v>
      </c>
      <c r="H476" t="s">
        <v>31</v>
      </c>
      <c r="I476" t="s">
        <v>49</v>
      </c>
      <c r="J476">
        <v>8</v>
      </c>
      <c r="K476">
        <v>1.3</v>
      </c>
      <c r="L476">
        <v>-3.5</v>
      </c>
      <c r="M476" t="s">
        <v>47</v>
      </c>
      <c r="N476">
        <v>0</v>
      </c>
      <c r="O476">
        <v>22.17</v>
      </c>
      <c r="P476">
        <v>8</v>
      </c>
      <c r="Q476" t="s">
        <v>28</v>
      </c>
      <c r="R476">
        <v>4</v>
      </c>
      <c r="S476" t="s">
        <v>41</v>
      </c>
      <c r="T476">
        <v>16.3</v>
      </c>
      <c r="U476" t="s">
        <v>31</v>
      </c>
      <c r="V476" t="s">
        <v>51</v>
      </c>
    </row>
    <row r="477" spans="1:22" x14ac:dyDescent="0.3">
      <c r="A477" t="s">
        <v>636</v>
      </c>
      <c r="B477">
        <v>2026</v>
      </c>
      <c r="C477" t="s">
        <v>104</v>
      </c>
      <c r="D477" t="s">
        <v>43</v>
      </c>
      <c r="E477" t="s">
        <v>36</v>
      </c>
      <c r="F477" t="s">
        <v>105</v>
      </c>
      <c r="G477" t="s">
        <v>45</v>
      </c>
      <c r="H477" t="s">
        <v>41</v>
      </c>
      <c r="I477" t="s">
        <v>71</v>
      </c>
      <c r="J477">
        <v>6</v>
      </c>
      <c r="K477">
        <v>1.7</v>
      </c>
      <c r="L477">
        <v>-6.3</v>
      </c>
      <c r="M477" t="s">
        <v>47</v>
      </c>
      <c r="N477">
        <v>11</v>
      </c>
      <c r="O477">
        <v>37.130000000000003</v>
      </c>
      <c r="P477">
        <v>5</v>
      </c>
      <c r="Q477" t="s">
        <v>31</v>
      </c>
      <c r="R477">
        <v>4</v>
      </c>
      <c r="S477" t="s">
        <v>41</v>
      </c>
      <c r="T477">
        <v>15.1</v>
      </c>
      <c r="U477" t="s">
        <v>28</v>
      </c>
      <c r="V477" t="s">
        <v>125</v>
      </c>
    </row>
    <row r="478" spans="1:22" x14ac:dyDescent="0.3">
      <c r="A478" t="s">
        <v>637</v>
      </c>
      <c r="B478">
        <v>2024</v>
      </c>
      <c r="C478" t="s">
        <v>94</v>
      </c>
      <c r="D478" t="s">
        <v>102</v>
      </c>
      <c r="E478" t="s">
        <v>82</v>
      </c>
      <c r="F478" t="s">
        <v>60</v>
      </c>
      <c r="G478" t="s">
        <v>38</v>
      </c>
      <c r="H478" t="s">
        <v>41</v>
      </c>
      <c r="I478" t="s">
        <v>61</v>
      </c>
      <c r="J478">
        <v>13</v>
      </c>
      <c r="K478">
        <v>1.7</v>
      </c>
      <c r="L478">
        <v>-3.9</v>
      </c>
      <c r="M478" t="s">
        <v>47</v>
      </c>
      <c r="N478">
        <v>13</v>
      </c>
      <c r="O478">
        <v>33.36</v>
      </c>
      <c r="P478">
        <v>2</v>
      </c>
      <c r="Q478" t="s">
        <v>28</v>
      </c>
      <c r="R478">
        <v>3</v>
      </c>
      <c r="S478" t="s">
        <v>41</v>
      </c>
      <c r="T478">
        <v>15.5</v>
      </c>
      <c r="U478" t="s">
        <v>28</v>
      </c>
      <c r="V478" t="s">
        <v>125</v>
      </c>
    </row>
    <row r="479" spans="1:22" x14ac:dyDescent="0.3">
      <c r="A479" t="s">
        <v>638</v>
      </c>
      <c r="B479">
        <v>2026</v>
      </c>
      <c r="C479" t="s">
        <v>23</v>
      </c>
      <c r="D479" t="s">
        <v>24</v>
      </c>
      <c r="E479" t="s">
        <v>86</v>
      </c>
      <c r="F479" t="s">
        <v>54</v>
      </c>
      <c r="G479" t="s">
        <v>55</v>
      </c>
      <c r="H479" t="s">
        <v>31</v>
      </c>
      <c r="I479" t="s">
        <v>90</v>
      </c>
      <c r="J479">
        <v>16</v>
      </c>
      <c r="K479">
        <v>1.6</v>
      </c>
      <c r="L479">
        <v>-4.0999999999999996</v>
      </c>
      <c r="M479" t="s">
        <v>30</v>
      </c>
      <c r="N479">
        <v>12</v>
      </c>
      <c r="O479">
        <v>38.840000000000003</v>
      </c>
      <c r="P479">
        <v>9</v>
      </c>
      <c r="Q479" t="s">
        <v>41</v>
      </c>
      <c r="R479">
        <v>6</v>
      </c>
      <c r="S479" t="s">
        <v>31</v>
      </c>
      <c r="T479">
        <v>8.4</v>
      </c>
      <c r="U479" t="s">
        <v>31</v>
      </c>
      <c r="V479" t="s">
        <v>32</v>
      </c>
    </row>
    <row r="480" spans="1:22" x14ac:dyDescent="0.3">
      <c r="A480" t="s">
        <v>639</v>
      </c>
      <c r="B480">
        <v>2025</v>
      </c>
      <c r="C480" t="s">
        <v>53</v>
      </c>
      <c r="D480" t="s">
        <v>156</v>
      </c>
      <c r="E480" t="s">
        <v>36</v>
      </c>
      <c r="F480" t="s">
        <v>26</v>
      </c>
      <c r="G480" t="s">
        <v>76</v>
      </c>
      <c r="H480" t="s">
        <v>41</v>
      </c>
      <c r="I480" t="s">
        <v>49</v>
      </c>
      <c r="J480">
        <v>7</v>
      </c>
      <c r="K480">
        <v>1.8</v>
      </c>
      <c r="L480">
        <v>-5.2</v>
      </c>
      <c r="M480" t="s">
        <v>30</v>
      </c>
      <c r="N480">
        <v>11</v>
      </c>
      <c r="O480">
        <v>9.3800000000000008</v>
      </c>
      <c r="P480">
        <v>5</v>
      </c>
      <c r="Q480" t="s">
        <v>28</v>
      </c>
      <c r="R480">
        <v>4</v>
      </c>
      <c r="S480" t="s">
        <v>31</v>
      </c>
      <c r="T480">
        <v>11.8</v>
      </c>
      <c r="U480" t="s">
        <v>31</v>
      </c>
      <c r="V480" t="s">
        <v>51</v>
      </c>
    </row>
    <row r="481" spans="1:22" x14ac:dyDescent="0.3">
      <c r="A481" t="s">
        <v>640</v>
      </c>
      <c r="B481">
        <v>2025</v>
      </c>
      <c r="C481" t="s">
        <v>117</v>
      </c>
      <c r="D481" t="s">
        <v>89</v>
      </c>
      <c r="E481" t="s">
        <v>25</v>
      </c>
      <c r="F481" t="s">
        <v>37</v>
      </c>
      <c r="G481" t="s">
        <v>45</v>
      </c>
      <c r="H481" t="s">
        <v>392</v>
      </c>
      <c r="I481" t="s">
        <v>40</v>
      </c>
      <c r="J481">
        <v>11</v>
      </c>
      <c r="K481">
        <v>1.8</v>
      </c>
      <c r="L481">
        <v>16.2</v>
      </c>
      <c r="M481" t="s">
        <v>30</v>
      </c>
      <c r="N481">
        <v>21</v>
      </c>
      <c r="O481">
        <v>62.86</v>
      </c>
      <c r="P481">
        <v>6</v>
      </c>
      <c r="Q481" t="s">
        <v>31</v>
      </c>
      <c r="R481">
        <v>5</v>
      </c>
      <c r="S481" t="s">
        <v>41</v>
      </c>
      <c r="T481">
        <v>8.5</v>
      </c>
      <c r="U481" t="s">
        <v>31</v>
      </c>
      <c r="V481" t="s">
        <v>32</v>
      </c>
    </row>
    <row r="482" spans="1:22" x14ac:dyDescent="0.3">
      <c r="A482" t="s">
        <v>641</v>
      </c>
      <c r="B482">
        <v>2025</v>
      </c>
      <c r="C482" t="s">
        <v>23</v>
      </c>
      <c r="D482" t="s">
        <v>43</v>
      </c>
      <c r="E482" t="s">
        <v>36</v>
      </c>
      <c r="F482" t="s">
        <v>26</v>
      </c>
      <c r="G482" t="s">
        <v>27</v>
      </c>
      <c r="H482" t="s">
        <v>41</v>
      </c>
      <c r="I482" t="s">
        <v>49</v>
      </c>
      <c r="J482">
        <v>3</v>
      </c>
      <c r="K482">
        <v>0.5</v>
      </c>
      <c r="L482">
        <v>7.9</v>
      </c>
      <c r="M482" t="s">
        <v>47</v>
      </c>
      <c r="N482">
        <v>3</v>
      </c>
      <c r="O482">
        <v>10.91</v>
      </c>
      <c r="P482">
        <v>5</v>
      </c>
      <c r="Q482" t="s">
        <v>28</v>
      </c>
      <c r="R482">
        <v>2</v>
      </c>
      <c r="S482" t="s">
        <v>41</v>
      </c>
      <c r="T482">
        <v>13.6</v>
      </c>
      <c r="U482" t="s">
        <v>28</v>
      </c>
      <c r="V482" t="s">
        <v>51</v>
      </c>
    </row>
    <row r="483" spans="1:22" x14ac:dyDescent="0.3">
      <c r="A483" t="s">
        <v>642</v>
      </c>
      <c r="B483">
        <v>2026</v>
      </c>
      <c r="C483" t="s">
        <v>643</v>
      </c>
      <c r="D483" t="s">
        <v>81</v>
      </c>
      <c r="E483" t="s">
        <v>82</v>
      </c>
      <c r="F483" t="s">
        <v>120</v>
      </c>
      <c r="G483" t="s">
        <v>27</v>
      </c>
      <c r="H483" t="s">
        <v>28</v>
      </c>
      <c r="I483" t="s">
        <v>49</v>
      </c>
      <c r="J483">
        <v>37</v>
      </c>
      <c r="K483">
        <v>9.4</v>
      </c>
      <c r="L483">
        <v>23.4</v>
      </c>
      <c r="M483" t="s">
        <v>30</v>
      </c>
      <c r="N483">
        <v>13</v>
      </c>
      <c r="O483">
        <v>96.1</v>
      </c>
      <c r="P483">
        <v>6</v>
      </c>
      <c r="Q483" t="s">
        <v>31</v>
      </c>
      <c r="R483">
        <v>7</v>
      </c>
      <c r="S483" t="s">
        <v>28</v>
      </c>
      <c r="T483">
        <v>6.4</v>
      </c>
      <c r="U483" t="s">
        <v>39</v>
      </c>
      <c r="V483" t="s">
        <v>32</v>
      </c>
    </row>
    <row r="484" spans="1:22" hidden="1" x14ac:dyDescent="0.3">
      <c r="A484" t="s">
        <v>644</v>
      </c>
      <c r="B484">
        <v>2024</v>
      </c>
      <c r="C484" t="s">
        <v>58</v>
      </c>
      <c r="D484" t="s">
        <v>69</v>
      </c>
      <c r="E484" t="s">
        <v>25</v>
      </c>
      <c r="F484" t="s">
        <v>113</v>
      </c>
      <c r="G484" t="s">
        <v>38</v>
      </c>
      <c r="H484" t="s">
        <v>114</v>
      </c>
      <c r="I484" t="s">
        <v>115</v>
      </c>
      <c r="J484">
        <v>0</v>
      </c>
      <c r="K484">
        <v>0</v>
      </c>
      <c r="L484">
        <v>5.2</v>
      </c>
      <c r="M484" t="s">
        <v>47</v>
      </c>
      <c r="N484">
        <v>2</v>
      </c>
      <c r="O484">
        <v>0</v>
      </c>
      <c r="P484">
        <v>4</v>
      </c>
      <c r="Q484" t="s">
        <v>28</v>
      </c>
      <c r="R484">
        <v>3</v>
      </c>
      <c r="S484" t="s">
        <v>41</v>
      </c>
      <c r="U484" t="s">
        <v>41</v>
      </c>
      <c r="V484" t="s">
        <v>125</v>
      </c>
    </row>
    <row r="485" spans="1:22" x14ac:dyDescent="0.3">
      <c r="A485" t="s">
        <v>645</v>
      </c>
      <c r="B485">
        <v>2025</v>
      </c>
      <c r="C485" t="s">
        <v>134</v>
      </c>
      <c r="D485" t="s">
        <v>156</v>
      </c>
      <c r="E485" t="s">
        <v>25</v>
      </c>
      <c r="F485" t="s">
        <v>98</v>
      </c>
      <c r="G485" t="s">
        <v>27</v>
      </c>
      <c r="H485" t="s">
        <v>31</v>
      </c>
      <c r="I485" t="s">
        <v>56</v>
      </c>
      <c r="J485">
        <v>22</v>
      </c>
      <c r="K485">
        <v>3.6</v>
      </c>
      <c r="L485">
        <v>8.3000000000000007</v>
      </c>
      <c r="M485" t="s">
        <v>30</v>
      </c>
      <c r="N485">
        <v>13</v>
      </c>
      <c r="O485">
        <v>15.77</v>
      </c>
      <c r="P485">
        <v>8</v>
      </c>
      <c r="Q485" t="s">
        <v>31</v>
      </c>
      <c r="R485">
        <v>6</v>
      </c>
      <c r="S485" t="s">
        <v>31</v>
      </c>
      <c r="T485">
        <v>7.6</v>
      </c>
      <c r="U485" t="s">
        <v>41</v>
      </c>
      <c r="V485" t="s">
        <v>32</v>
      </c>
    </row>
    <row r="486" spans="1:22" x14ac:dyDescent="0.3">
      <c r="A486" t="s">
        <v>646</v>
      </c>
      <c r="B486">
        <v>2025</v>
      </c>
      <c r="C486" t="s">
        <v>134</v>
      </c>
      <c r="D486" t="s">
        <v>81</v>
      </c>
      <c r="E486" t="s">
        <v>36</v>
      </c>
      <c r="F486" t="s">
        <v>37</v>
      </c>
      <c r="G486" t="s">
        <v>27</v>
      </c>
      <c r="H486" t="s">
        <v>39</v>
      </c>
      <c r="I486" t="s">
        <v>40</v>
      </c>
      <c r="J486">
        <v>26</v>
      </c>
      <c r="K486">
        <v>10.7</v>
      </c>
      <c r="L486">
        <v>14.8</v>
      </c>
      <c r="M486" t="s">
        <v>30</v>
      </c>
      <c r="N486">
        <v>7</v>
      </c>
      <c r="O486">
        <v>110.63</v>
      </c>
      <c r="P486">
        <v>7</v>
      </c>
      <c r="Q486" t="s">
        <v>31</v>
      </c>
      <c r="R486">
        <v>5</v>
      </c>
      <c r="S486" t="s">
        <v>31</v>
      </c>
      <c r="T486">
        <v>14.5</v>
      </c>
      <c r="U486" t="s">
        <v>28</v>
      </c>
      <c r="V486" t="s">
        <v>32</v>
      </c>
    </row>
    <row r="487" spans="1:22" x14ac:dyDescent="0.3">
      <c r="A487" t="s">
        <v>647</v>
      </c>
      <c r="B487">
        <v>2026</v>
      </c>
      <c r="C487" t="s">
        <v>53</v>
      </c>
      <c r="D487" t="s">
        <v>102</v>
      </c>
      <c r="E487" t="s">
        <v>86</v>
      </c>
      <c r="F487" t="s">
        <v>60</v>
      </c>
      <c r="G487" t="s">
        <v>55</v>
      </c>
      <c r="H487" t="s">
        <v>31</v>
      </c>
      <c r="I487" t="s">
        <v>61</v>
      </c>
      <c r="J487">
        <v>30</v>
      </c>
      <c r="K487">
        <v>3</v>
      </c>
      <c r="L487">
        <v>-11.1</v>
      </c>
      <c r="M487" t="s">
        <v>50</v>
      </c>
      <c r="N487">
        <v>0</v>
      </c>
      <c r="O487">
        <v>41.21</v>
      </c>
      <c r="P487">
        <v>8</v>
      </c>
      <c r="Q487" t="s">
        <v>371</v>
      </c>
      <c r="R487">
        <v>5</v>
      </c>
      <c r="S487" t="s">
        <v>28</v>
      </c>
      <c r="T487">
        <v>4.9000000000000004</v>
      </c>
      <c r="U487" t="s">
        <v>31</v>
      </c>
      <c r="V487" t="s">
        <v>32</v>
      </c>
    </row>
    <row r="488" spans="1:22" x14ac:dyDescent="0.3">
      <c r="A488" t="s">
        <v>648</v>
      </c>
      <c r="B488">
        <v>2025</v>
      </c>
      <c r="C488" t="s">
        <v>53</v>
      </c>
      <c r="D488" t="s">
        <v>156</v>
      </c>
      <c r="E488" t="s">
        <v>36</v>
      </c>
      <c r="F488" t="s">
        <v>64</v>
      </c>
      <c r="G488" t="s">
        <v>27</v>
      </c>
      <c r="H488" t="s">
        <v>28</v>
      </c>
      <c r="I488" t="s">
        <v>65</v>
      </c>
      <c r="J488">
        <v>24</v>
      </c>
      <c r="K488">
        <v>6.5</v>
      </c>
      <c r="L488">
        <v>10.6</v>
      </c>
      <c r="M488" t="s">
        <v>50</v>
      </c>
      <c r="N488">
        <v>25</v>
      </c>
      <c r="O488">
        <v>55.09</v>
      </c>
      <c r="P488">
        <v>8</v>
      </c>
      <c r="Q488" t="s">
        <v>28</v>
      </c>
      <c r="R488">
        <v>7</v>
      </c>
      <c r="S488" t="s">
        <v>28</v>
      </c>
      <c r="T488">
        <v>10.6</v>
      </c>
      <c r="U488" t="s">
        <v>31</v>
      </c>
      <c r="V488" t="s">
        <v>32</v>
      </c>
    </row>
    <row r="489" spans="1:22" x14ac:dyDescent="0.3">
      <c r="A489" t="s">
        <v>649</v>
      </c>
      <c r="B489">
        <v>2025</v>
      </c>
      <c r="C489" t="s">
        <v>53</v>
      </c>
      <c r="D489" t="s">
        <v>59</v>
      </c>
      <c r="E489" t="s">
        <v>25</v>
      </c>
      <c r="F489" t="s">
        <v>64</v>
      </c>
      <c r="G489" t="s">
        <v>55</v>
      </c>
      <c r="H489" t="s">
        <v>28</v>
      </c>
      <c r="I489" t="s">
        <v>71</v>
      </c>
      <c r="J489">
        <v>42</v>
      </c>
      <c r="K489">
        <v>9</v>
      </c>
      <c r="L489">
        <v>6.6</v>
      </c>
      <c r="M489" t="s">
        <v>50</v>
      </c>
      <c r="N489">
        <v>17</v>
      </c>
      <c r="O489">
        <v>2710.65</v>
      </c>
      <c r="P489">
        <v>9</v>
      </c>
      <c r="Q489" t="s">
        <v>28</v>
      </c>
      <c r="R489">
        <v>5</v>
      </c>
      <c r="S489" t="s">
        <v>28</v>
      </c>
      <c r="T489">
        <v>9.8000000000000007</v>
      </c>
      <c r="U489" t="s">
        <v>31</v>
      </c>
      <c r="V489" t="s">
        <v>32</v>
      </c>
    </row>
    <row r="490" spans="1:22" x14ac:dyDescent="0.3">
      <c r="A490" t="s">
        <v>650</v>
      </c>
      <c r="B490">
        <v>2026</v>
      </c>
      <c r="C490" t="s">
        <v>34</v>
      </c>
      <c r="D490" t="s">
        <v>35</v>
      </c>
      <c r="E490" t="s">
        <v>36</v>
      </c>
      <c r="F490" t="s">
        <v>87</v>
      </c>
      <c r="G490" t="s">
        <v>76</v>
      </c>
      <c r="H490" t="s">
        <v>31</v>
      </c>
      <c r="I490" t="s">
        <v>56</v>
      </c>
      <c r="J490">
        <v>30</v>
      </c>
      <c r="K490">
        <v>3.1</v>
      </c>
      <c r="L490">
        <v>14.4</v>
      </c>
      <c r="M490" t="s">
        <v>30</v>
      </c>
      <c r="N490">
        <v>31</v>
      </c>
      <c r="O490">
        <v>21.48</v>
      </c>
      <c r="P490">
        <v>7</v>
      </c>
      <c r="Q490" t="s">
        <v>31</v>
      </c>
      <c r="R490">
        <v>9</v>
      </c>
      <c r="S490" t="s">
        <v>28</v>
      </c>
      <c r="T490">
        <v>5.8</v>
      </c>
      <c r="U490" t="s">
        <v>41</v>
      </c>
      <c r="V490" t="s">
        <v>32</v>
      </c>
    </row>
    <row r="491" spans="1:22" x14ac:dyDescent="0.3">
      <c r="A491" t="s">
        <v>651</v>
      </c>
      <c r="B491">
        <v>2024</v>
      </c>
      <c r="C491" t="s">
        <v>104</v>
      </c>
      <c r="D491" t="s">
        <v>24</v>
      </c>
      <c r="E491" t="s">
        <v>36</v>
      </c>
      <c r="F491" t="s">
        <v>87</v>
      </c>
      <c r="G491" t="s">
        <v>27</v>
      </c>
      <c r="H491" t="s">
        <v>41</v>
      </c>
      <c r="I491" t="s">
        <v>90</v>
      </c>
      <c r="J491">
        <v>7</v>
      </c>
      <c r="K491">
        <v>0.6</v>
      </c>
      <c r="L491">
        <v>-10.199999999999999</v>
      </c>
      <c r="M491" t="s">
        <v>30</v>
      </c>
      <c r="N491">
        <v>5</v>
      </c>
      <c r="O491">
        <v>20.32</v>
      </c>
      <c r="P491">
        <v>9</v>
      </c>
      <c r="Q491" t="s">
        <v>28</v>
      </c>
      <c r="R491">
        <v>7</v>
      </c>
      <c r="S491" t="s">
        <v>41</v>
      </c>
      <c r="T491">
        <v>10.6</v>
      </c>
      <c r="U491" t="s">
        <v>41</v>
      </c>
      <c r="V491" t="s">
        <v>51</v>
      </c>
    </row>
    <row r="492" spans="1:22" x14ac:dyDescent="0.3">
      <c r="A492" t="s">
        <v>652</v>
      </c>
      <c r="B492">
        <v>2025</v>
      </c>
      <c r="C492" t="s">
        <v>68</v>
      </c>
      <c r="D492" t="s">
        <v>24</v>
      </c>
      <c r="E492" t="s">
        <v>82</v>
      </c>
      <c r="F492" t="s">
        <v>60</v>
      </c>
      <c r="G492">
        <v>0</v>
      </c>
      <c r="H492" t="s">
        <v>31</v>
      </c>
      <c r="I492" t="s">
        <v>61</v>
      </c>
      <c r="J492">
        <v>20</v>
      </c>
      <c r="K492">
        <v>1.7</v>
      </c>
      <c r="L492">
        <v>5.9</v>
      </c>
      <c r="M492" t="s">
        <v>30</v>
      </c>
      <c r="N492">
        <v>11</v>
      </c>
      <c r="O492">
        <v>22.8</v>
      </c>
      <c r="P492">
        <v>6</v>
      </c>
      <c r="Q492" t="s">
        <v>31</v>
      </c>
      <c r="R492">
        <v>2</v>
      </c>
      <c r="S492" t="s">
        <v>41</v>
      </c>
      <c r="T492">
        <v>18.2</v>
      </c>
      <c r="U492" t="s">
        <v>31</v>
      </c>
      <c r="V492" t="s">
        <v>51</v>
      </c>
    </row>
    <row r="493" spans="1:22" x14ac:dyDescent="0.3">
      <c r="A493" t="s">
        <v>653</v>
      </c>
      <c r="B493">
        <v>2024</v>
      </c>
      <c r="C493" t="s">
        <v>74</v>
      </c>
      <c r="D493" t="s">
        <v>81</v>
      </c>
      <c r="E493" t="s">
        <v>36</v>
      </c>
      <c r="F493" t="s">
        <v>37</v>
      </c>
      <c r="G493" t="s">
        <v>55</v>
      </c>
      <c r="H493" t="s">
        <v>31</v>
      </c>
      <c r="I493" t="s">
        <v>71</v>
      </c>
      <c r="J493">
        <v>37</v>
      </c>
      <c r="K493">
        <v>9.6</v>
      </c>
      <c r="L493">
        <v>6.5</v>
      </c>
      <c r="M493" t="s">
        <v>47</v>
      </c>
      <c r="N493">
        <v>10</v>
      </c>
      <c r="O493">
        <v>166.37</v>
      </c>
      <c r="P493">
        <v>7</v>
      </c>
      <c r="Q493" t="s">
        <v>39</v>
      </c>
      <c r="R493">
        <v>7</v>
      </c>
      <c r="S493" t="s">
        <v>31</v>
      </c>
      <c r="T493">
        <v>9.8000000000000007</v>
      </c>
      <c r="U493" t="s">
        <v>28</v>
      </c>
      <c r="V493" t="s">
        <v>32</v>
      </c>
    </row>
    <row r="494" spans="1:22" x14ac:dyDescent="0.3">
      <c r="A494" t="s">
        <v>654</v>
      </c>
      <c r="B494">
        <v>2024</v>
      </c>
      <c r="C494" t="s">
        <v>134</v>
      </c>
      <c r="D494" t="s">
        <v>156</v>
      </c>
      <c r="E494" t="s">
        <v>82</v>
      </c>
      <c r="F494" t="s">
        <v>98</v>
      </c>
      <c r="G494" t="s">
        <v>55</v>
      </c>
      <c r="H494" t="s">
        <v>31</v>
      </c>
      <c r="I494" t="s">
        <v>56</v>
      </c>
      <c r="J494">
        <v>18</v>
      </c>
      <c r="K494">
        <v>2.5</v>
      </c>
      <c r="L494">
        <v>9.6999999999999993</v>
      </c>
      <c r="M494" t="s">
        <v>47</v>
      </c>
      <c r="N494">
        <v>1</v>
      </c>
      <c r="O494">
        <v>19.690000000000001</v>
      </c>
      <c r="P494">
        <v>9</v>
      </c>
      <c r="Q494" t="s">
        <v>31</v>
      </c>
      <c r="R494">
        <v>5</v>
      </c>
      <c r="S494" t="s">
        <v>31</v>
      </c>
      <c r="T494">
        <v>6.7</v>
      </c>
      <c r="U494" t="s">
        <v>41</v>
      </c>
      <c r="V494" t="s">
        <v>32</v>
      </c>
    </row>
    <row r="495" spans="1:22" x14ac:dyDescent="0.3">
      <c r="A495" t="s">
        <v>655</v>
      </c>
      <c r="B495">
        <v>2024</v>
      </c>
      <c r="C495" t="s">
        <v>34</v>
      </c>
      <c r="D495" t="s">
        <v>102</v>
      </c>
      <c r="E495" t="s">
        <v>86</v>
      </c>
      <c r="F495" t="s">
        <v>26</v>
      </c>
      <c r="G495" t="s">
        <v>55</v>
      </c>
      <c r="H495" t="s">
        <v>41</v>
      </c>
      <c r="I495" t="s">
        <v>90</v>
      </c>
      <c r="J495">
        <v>4</v>
      </c>
      <c r="K495">
        <v>29.5</v>
      </c>
      <c r="L495">
        <v>-17.2</v>
      </c>
      <c r="M495" t="s">
        <v>30</v>
      </c>
      <c r="N495">
        <v>12</v>
      </c>
      <c r="O495">
        <v>26.84</v>
      </c>
      <c r="P495">
        <v>6</v>
      </c>
      <c r="Q495" t="s">
        <v>31</v>
      </c>
      <c r="R495">
        <v>4</v>
      </c>
      <c r="S495" t="s">
        <v>96</v>
      </c>
      <c r="T495">
        <v>16.8</v>
      </c>
      <c r="U495" t="s">
        <v>41</v>
      </c>
      <c r="V495" t="s">
        <v>51</v>
      </c>
    </row>
    <row r="496" spans="1:22" x14ac:dyDescent="0.3">
      <c r="A496" t="s">
        <v>656</v>
      </c>
      <c r="B496">
        <v>2026</v>
      </c>
      <c r="C496" t="s">
        <v>80</v>
      </c>
      <c r="D496" t="s">
        <v>102</v>
      </c>
      <c r="E496" t="s">
        <v>82</v>
      </c>
      <c r="F496" t="s">
        <v>87</v>
      </c>
      <c r="G496" t="s">
        <v>38</v>
      </c>
      <c r="H496" t="s">
        <v>31</v>
      </c>
      <c r="I496" t="s">
        <v>56</v>
      </c>
      <c r="J496">
        <v>19</v>
      </c>
      <c r="K496">
        <v>7.8</v>
      </c>
      <c r="L496">
        <v>23.8</v>
      </c>
      <c r="M496" t="s">
        <v>30</v>
      </c>
      <c r="N496">
        <v>17</v>
      </c>
      <c r="O496">
        <v>47.3</v>
      </c>
      <c r="P496">
        <v>6</v>
      </c>
      <c r="Q496" t="s">
        <v>28</v>
      </c>
      <c r="R496">
        <v>5</v>
      </c>
      <c r="S496" t="s">
        <v>28</v>
      </c>
      <c r="T496">
        <v>4.9000000000000004</v>
      </c>
      <c r="U496" t="s">
        <v>28</v>
      </c>
      <c r="V496" t="s">
        <v>32</v>
      </c>
    </row>
    <row r="497" spans="1:22" x14ac:dyDescent="0.3">
      <c r="A497" t="s">
        <v>657</v>
      </c>
      <c r="B497">
        <v>2025</v>
      </c>
      <c r="C497" t="s">
        <v>53</v>
      </c>
      <c r="D497" t="s">
        <v>81</v>
      </c>
      <c r="E497" t="s">
        <v>82</v>
      </c>
      <c r="F497" t="s">
        <v>37</v>
      </c>
      <c r="G497" t="s">
        <v>27</v>
      </c>
      <c r="H497" t="s">
        <v>28</v>
      </c>
      <c r="I497" t="s">
        <v>65</v>
      </c>
      <c r="J497">
        <v>19</v>
      </c>
      <c r="K497">
        <v>7.2</v>
      </c>
      <c r="L497">
        <v>14.5</v>
      </c>
      <c r="M497" t="s">
        <v>144</v>
      </c>
      <c r="N497">
        <v>45</v>
      </c>
      <c r="O497">
        <v>71.22</v>
      </c>
      <c r="P497">
        <v>7</v>
      </c>
      <c r="Q497" t="s">
        <v>31</v>
      </c>
      <c r="R497">
        <v>8</v>
      </c>
      <c r="S497" t="s">
        <v>28</v>
      </c>
      <c r="T497">
        <v>10</v>
      </c>
      <c r="U497" t="s">
        <v>41</v>
      </c>
      <c r="V497" t="s">
        <v>32</v>
      </c>
    </row>
    <row r="498" spans="1:22" x14ac:dyDescent="0.3">
      <c r="A498" t="s">
        <v>658</v>
      </c>
      <c r="B498">
        <v>2024</v>
      </c>
      <c r="C498" t="s">
        <v>217</v>
      </c>
      <c r="D498" t="s">
        <v>102</v>
      </c>
      <c r="E498" t="s">
        <v>86</v>
      </c>
      <c r="F498" t="s">
        <v>271</v>
      </c>
      <c r="G498" t="s">
        <v>55</v>
      </c>
      <c r="H498" t="s">
        <v>31</v>
      </c>
      <c r="I498" t="s">
        <v>65</v>
      </c>
      <c r="J498">
        <v>12</v>
      </c>
      <c r="K498">
        <v>1.8</v>
      </c>
      <c r="L498">
        <v>-2.2999999999999998</v>
      </c>
      <c r="M498" t="s">
        <v>30</v>
      </c>
      <c r="N498">
        <v>4</v>
      </c>
      <c r="O498">
        <v>25.68</v>
      </c>
      <c r="P498">
        <v>6</v>
      </c>
      <c r="Q498" t="s">
        <v>28</v>
      </c>
      <c r="R498">
        <v>3</v>
      </c>
      <c r="S498" t="s">
        <v>31</v>
      </c>
      <c r="T498">
        <v>8</v>
      </c>
      <c r="U498" t="s">
        <v>31</v>
      </c>
      <c r="V498" t="s">
        <v>125</v>
      </c>
    </row>
    <row r="499" spans="1:22" x14ac:dyDescent="0.3">
      <c r="A499" t="s">
        <v>659</v>
      </c>
      <c r="B499">
        <v>2024</v>
      </c>
      <c r="C499" t="s">
        <v>74</v>
      </c>
      <c r="D499" t="s">
        <v>156</v>
      </c>
      <c r="E499" t="s">
        <v>82</v>
      </c>
      <c r="F499" t="s">
        <v>60</v>
      </c>
      <c r="G499" t="s">
        <v>55</v>
      </c>
      <c r="H499" t="s">
        <v>41</v>
      </c>
      <c r="I499" t="s">
        <v>61</v>
      </c>
      <c r="J499">
        <v>6</v>
      </c>
      <c r="K499">
        <v>1.3</v>
      </c>
      <c r="L499">
        <v>-0.8</v>
      </c>
      <c r="M499" t="s">
        <v>30</v>
      </c>
      <c r="N499">
        <v>4</v>
      </c>
      <c r="O499">
        <v>17.38</v>
      </c>
      <c r="P499">
        <v>6</v>
      </c>
      <c r="Q499" t="s">
        <v>39</v>
      </c>
      <c r="R499">
        <v>5</v>
      </c>
      <c r="S499" t="s">
        <v>28</v>
      </c>
      <c r="T499">
        <v>4.7</v>
      </c>
      <c r="U499" t="s">
        <v>41</v>
      </c>
      <c r="V499" t="s">
        <v>32</v>
      </c>
    </row>
    <row r="500" spans="1:22" x14ac:dyDescent="0.3">
      <c r="A500" t="s">
        <v>660</v>
      </c>
      <c r="B500">
        <v>2026</v>
      </c>
      <c r="C500" t="s">
        <v>23</v>
      </c>
      <c r="D500" t="s">
        <v>69</v>
      </c>
      <c r="E500" t="s">
        <v>25</v>
      </c>
      <c r="F500" t="s">
        <v>113</v>
      </c>
      <c r="G500" t="s">
        <v>55</v>
      </c>
      <c r="H500" t="s">
        <v>28</v>
      </c>
      <c r="I500" t="s">
        <v>71</v>
      </c>
      <c r="J500">
        <v>28</v>
      </c>
      <c r="K500">
        <v>9.6</v>
      </c>
      <c r="L500">
        <v>36.6</v>
      </c>
      <c r="M500" t="s">
        <v>50</v>
      </c>
      <c r="N500">
        <v>8</v>
      </c>
      <c r="O500">
        <v>100.58</v>
      </c>
      <c r="P500">
        <v>7</v>
      </c>
      <c r="Q500" t="s">
        <v>39</v>
      </c>
      <c r="R500">
        <v>7</v>
      </c>
      <c r="S500" t="s">
        <v>91</v>
      </c>
      <c r="T500">
        <v>6.7</v>
      </c>
      <c r="U500" t="s">
        <v>31</v>
      </c>
      <c r="V500" t="s">
        <v>32</v>
      </c>
    </row>
    <row r="501" spans="1:22" x14ac:dyDescent="0.3">
      <c r="A501" t="s">
        <v>661</v>
      </c>
      <c r="B501">
        <v>2025</v>
      </c>
      <c r="C501" t="s">
        <v>217</v>
      </c>
      <c r="D501" t="s">
        <v>63</v>
      </c>
      <c r="E501" t="s">
        <v>86</v>
      </c>
      <c r="F501" t="s">
        <v>75</v>
      </c>
      <c r="G501" t="s">
        <v>38</v>
      </c>
      <c r="H501" t="s">
        <v>41</v>
      </c>
      <c r="I501" t="s">
        <v>49</v>
      </c>
      <c r="J501">
        <v>9</v>
      </c>
      <c r="K501">
        <v>2.6</v>
      </c>
      <c r="L501">
        <v>1.3</v>
      </c>
      <c r="M501" t="s">
        <v>30</v>
      </c>
      <c r="N501">
        <v>0</v>
      </c>
      <c r="O501">
        <v>12.01</v>
      </c>
      <c r="P501">
        <v>6</v>
      </c>
      <c r="Q501" t="s">
        <v>41</v>
      </c>
      <c r="R501">
        <v>5</v>
      </c>
      <c r="S501" t="s">
        <v>31</v>
      </c>
      <c r="T501">
        <v>9.5</v>
      </c>
      <c r="U501" t="s">
        <v>31</v>
      </c>
      <c r="V501" t="s">
        <v>32</v>
      </c>
    </row>
    <row r="502" spans="1:22" x14ac:dyDescent="0.3">
      <c r="A502" t="s">
        <v>662</v>
      </c>
      <c r="B502">
        <v>2025</v>
      </c>
      <c r="C502" t="s">
        <v>74</v>
      </c>
      <c r="D502" t="s">
        <v>102</v>
      </c>
      <c r="E502" t="s">
        <v>86</v>
      </c>
      <c r="F502" t="s">
        <v>132</v>
      </c>
      <c r="G502" t="s">
        <v>55</v>
      </c>
      <c r="H502" t="s">
        <v>28</v>
      </c>
      <c r="I502" t="s">
        <v>65</v>
      </c>
      <c r="J502">
        <v>44</v>
      </c>
      <c r="K502">
        <v>15.8</v>
      </c>
      <c r="L502">
        <v>8</v>
      </c>
      <c r="M502" t="s">
        <v>30</v>
      </c>
      <c r="N502">
        <v>20</v>
      </c>
      <c r="O502">
        <v>69.61</v>
      </c>
      <c r="P502">
        <v>7</v>
      </c>
      <c r="Q502" t="s">
        <v>31</v>
      </c>
      <c r="R502">
        <v>6</v>
      </c>
      <c r="S502" t="s">
        <v>28</v>
      </c>
      <c r="T502">
        <v>6.9</v>
      </c>
      <c r="U502" t="s">
        <v>31</v>
      </c>
      <c r="V502" t="s">
        <v>32</v>
      </c>
    </row>
    <row r="503" spans="1:22" x14ac:dyDescent="0.3">
      <c r="A503" t="s">
        <v>663</v>
      </c>
      <c r="B503">
        <v>2025</v>
      </c>
      <c r="C503" t="s">
        <v>80</v>
      </c>
      <c r="D503" t="s">
        <v>81</v>
      </c>
      <c r="E503" t="s">
        <v>331</v>
      </c>
      <c r="F503" t="s">
        <v>75</v>
      </c>
      <c r="G503" t="s">
        <v>27</v>
      </c>
      <c r="H503" t="s">
        <v>31</v>
      </c>
      <c r="I503" t="s">
        <v>65</v>
      </c>
      <c r="J503">
        <v>12</v>
      </c>
      <c r="K503">
        <v>3.6</v>
      </c>
      <c r="L503">
        <v>2.7</v>
      </c>
      <c r="M503" t="s">
        <v>30</v>
      </c>
      <c r="N503">
        <v>5</v>
      </c>
      <c r="O503">
        <v>56.8</v>
      </c>
      <c r="P503">
        <v>5</v>
      </c>
      <c r="Q503" t="s">
        <v>28</v>
      </c>
      <c r="R503">
        <v>5</v>
      </c>
      <c r="S503" t="s">
        <v>28</v>
      </c>
      <c r="T503">
        <v>11</v>
      </c>
      <c r="U503" t="s">
        <v>41</v>
      </c>
      <c r="V503" t="s">
        <v>51</v>
      </c>
    </row>
    <row r="504" spans="1:22" x14ac:dyDescent="0.3">
      <c r="A504" t="s">
        <v>664</v>
      </c>
      <c r="B504">
        <v>2025</v>
      </c>
      <c r="C504" t="s">
        <v>104</v>
      </c>
      <c r="D504" t="s">
        <v>24</v>
      </c>
      <c r="E504" t="s">
        <v>25</v>
      </c>
      <c r="F504" t="s">
        <v>64</v>
      </c>
      <c r="G504" t="s">
        <v>76</v>
      </c>
      <c r="H504" t="s">
        <v>28</v>
      </c>
      <c r="I504" t="s">
        <v>71</v>
      </c>
      <c r="J504">
        <v>71</v>
      </c>
      <c r="K504">
        <v>10.6</v>
      </c>
      <c r="L504">
        <v>32</v>
      </c>
      <c r="M504" t="s">
        <v>50</v>
      </c>
      <c r="N504">
        <v>37</v>
      </c>
      <c r="O504">
        <v>193.56</v>
      </c>
      <c r="P504">
        <v>10</v>
      </c>
      <c r="Q504" t="s">
        <v>39</v>
      </c>
      <c r="R504">
        <v>5</v>
      </c>
      <c r="S504" t="s">
        <v>28</v>
      </c>
      <c r="T504">
        <v>8.5</v>
      </c>
      <c r="U504" t="s">
        <v>41</v>
      </c>
      <c r="V504" t="s">
        <v>72</v>
      </c>
    </row>
    <row r="505" spans="1:22" x14ac:dyDescent="0.3">
      <c r="A505" t="s">
        <v>665</v>
      </c>
      <c r="B505">
        <v>2026</v>
      </c>
      <c r="C505" t="s">
        <v>104</v>
      </c>
      <c r="D505" t="s">
        <v>24</v>
      </c>
      <c r="E505" t="s">
        <v>36</v>
      </c>
      <c r="F505" t="s">
        <v>70</v>
      </c>
      <c r="G505" t="s">
        <v>55</v>
      </c>
      <c r="H505" t="s">
        <v>28</v>
      </c>
      <c r="I505" t="s">
        <v>65</v>
      </c>
      <c r="J505">
        <v>43</v>
      </c>
      <c r="K505">
        <v>15</v>
      </c>
      <c r="L505">
        <v>36.5</v>
      </c>
      <c r="M505" t="s">
        <v>30</v>
      </c>
      <c r="N505">
        <v>15</v>
      </c>
      <c r="O505">
        <v>135.25</v>
      </c>
      <c r="P505">
        <v>9</v>
      </c>
      <c r="Q505" t="s">
        <v>39</v>
      </c>
      <c r="R505">
        <v>6</v>
      </c>
      <c r="S505" t="s">
        <v>31</v>
      </c>
      <c r="T505">
        <v>13.1</v>
      </c>
      <c r="U505" t="s">
        <v>41</v>
      </c>
      <c r="V505" t="s">
        <v>32</v>
      </c>
    </row>
    <row r="506" spans="1:22" x14ac:dyDescent="0.3">
      <c r="A506" t="s">
        <v>666</v>
      </c>
      <c r="B506">
        <v>2025</v>
      </c>
      <c r="C506" t="s">
        <v>84</v>
      </c>
      <c r="D506" t="s">
        <v>89</v>
      </c>
      <c r="E506" t="s">
        <v>25</v>
      </c>
      <c r="F506" t="s">
        <v>105</v>
      </c>
      <c r="G506" t="s">
        <v>55</v>
      </c>
      <c r="H506" t="s">
        <v>28</v>
      </c>
      <c r="I506" t="s">
        <v>49</v>
      </c>
      <c r="J506">
        <v>80</v>
      </c>
      <c r="K506">
        <v>4.5</v>
      </c>
      <c r="L506">
        <v>17.399999999999999</v>
      </c>
      <c r="M506" t="s">
        <v>50</v>
      </c>
      <c r="N506">
        <v>0</v>
      </c>
      <c r="O506">
        <v>121.72</v>
      </c>
      <c r="P506">
        <v>6</v>
      </c>
      <c r="Q506" t="s">
        <v>31</v>
      </c>
      <c r="R506">
        <v>5</v>
      </c>
      <c r="S506" t="s">
        <v>31</v>
      </c>
      <c r="T506">
        <v>4.5</v>
      </c>
      <c r="U506" t="s">
        <v>31</v>
      </c>
      <c r="V506" t="s">
        <v>32</v>
      </c>
    </row>
    <row r="507" spans="1:22" x14ac:dyDescent="0.3">
      <c r="A507" t="s">
        <v>667</v>
      </c>
      <c r="B507">
        <v>2026</v>
      </c>
      <c r="C507" t="s">
        <v>68</v>
      </c>
      <c r="D507" t="s">
        <v>35</v>
      </c>
      <c r="E507" t="s">
        <v>82</v>
      </c>
      <c r="F507" t="s">
        <v>132</v>
      </c>
      <c r="G507" t="s">
        <v>27</v>
      </c>
      <c r="H507" t="s">
        <v>31</v>
      </c>
      <c r="I507" t="s">
        <v>46</v>
      </c>
      <c r="J507">
        <v>26</v>
      </c>
      <c r="K507">
        <v>4.3</v>
      </c>
      <c r="L507">
        <v>15.4</v>
      </c>
      <c r="M507" t="s">
        <v>30</v>
      </c>
      <c r="N507">
        <v>17</v>
      </c>
      <c r="O507">
        <v>51.58</v>
      </c>
      <c r="P507">
        <v>6</v>
      </c>
      <c r="Q507" t="s">
        <v>31</v>
      </c>
      <c r="R507">
        <v>6</v>
      </c>
      <c r="S507" t="s">
        <v>28</v>
      </c>
      <c r="T507">
        <v>5.8</v>
      </c>
      <c r="U507" t="s">
        <v>31</v>
      </c>
      <c r="V507" t="s">
        <v>32</v>
      </c>
    </row>
    <row r="508" spans="1:22" x14ac:dyDescent="0.3">
      <c r="A508" t="s">
        <v>668</v>
      </c>
      <c r="B508">
        <v>2024</v>
      </c>
      <c r="C508" t="s">
        <v>74</v>
      </c>
      <c r="D508" t="s">
        <v>156</v>
      </c>
      <c r="E508" t="s">
        <v>36</v>
      </c>
      <c r="F508" t="s">
        <v>87</v>
      </c>
      <c r="G508" t="s">
        <v>27</v>
      </c>
      <c r="H508" t="s">
        <v>31</v>
      </c>
      <c r="I508" t="s">
        <v>90</v>
      </c>
      <c r="J508">
        <v>12</v>
      </c>
      <c r="K508">
        <v>9.3000000000000007</v>
      </c>
      <c r="L508">
        <v>-32.4</v>
      </c>
      <c r="M508" t="s">
        <v>47</v>
      </c>
      <c r="N508">
        <v>27</v>
      </c>
      <c r="O508">
        <v>28.43</v>
      </c>
      <c r="P508">
        <v>7</v>
      </c>
      <c r="Q508" t="s">
        <v>28</v>
      </c>
      <c r="R508">
        <v>4</v>
      </c>
      <c r="S508" t="s">
        <v>31</v>
      </c>
      <c r="T508">
        <v>8</v>
      </c>
      <c r="U508" t="s">
        <v>31</v>
      </c>
      <c r="V508" t="s">
        <v>32</v>
      </c>
    </row>
    <row r="509" spans="1:22" x14ac:dyDescent="0.3">
      <c r="A509" t="s">
        <v>669</v>
      </c>
      <c r="B509">
        <v>2026</v>
      </c>
      <c r="C509" t="s">
        <v>134</v>
      </c>
      <c r="D509" t="s">
        <v>156</v>
      </c>
      <c r="E509" t="s">
        <v>82</v>
      </c>
      <c r="F509" t="s">
        <v>75</v>
      </c>
      <c r="G509" t="s">
        <v>45</v>
      </c>
      <c r="H509" t="s">
        <v>28</v>
      </c>
      <c r="I509" t="s">
        <v>46</v>
      </c>
      <c r="J509">
        <v>24</v>
      </c>
      <c r="K509">
        <v>4.5999999999999996</v>
      </c>
      <c r="L509">
        <v>18.8</v>
      </c>
      <c r="M509" t="s">
        <v>50</v>
      </c>
      <c r="N509">
        <v>39</v>
      </c>
      <c r="O509">
        <v>57.72</v>
      </c>
      <c r="P509">
        <v>9</v>
      </c>
      <c r="Q509" t="s">
        <v>31</v>
      </c>
      <c r="R509">
        <v>7</v>
      </c>
      <c r="S509" t="s">
        <v>91</v>
      </c>
      <c r="T509">
        <v>5.7</v>
      </c>
      <c r="U509" t="s">
        <v>41</v>
      </c>
      <c r="V509" t="s">
        <v>72</v>
      </c>
    </row>
    <row r="510" spans="1:22" x14ac:dyDescent="0.3">
      <c r="A510" t="s">
        <v>670</v>
      </c>
      <c r="B510">
        <v>2026</v>
      </c>
      <c r="C510" t="s">
        <v>23</v>
      </c>
      <c r="D510" t="s">
        <v>156</v>
      </c>
      <c r="E510" t="s">
        <v>82</v>
      </c>
      <c r="F510" t="s">
        <v>60</v>
      </c>
      <c r="G510" t="s">
        <v>27</v>
      </c>
      <c r="H510" t="s">
        <v>28</v>
      </c>
      <c r="I510" t="s">
        <v>71</v>
      </c>
      <c r="J510">
        <v>0</v>
      </c>
      <c r="K510">
        <v>5.3</v>
      </c>
      <c r="L510">
        <v>12.6</v>
      </c>
      <c r="M510" t="s">
        <v>30</v>
      </c>
      <c r="N510">
        <v>0</v>
      </c>
      <c r="O510">
        <v>257.10000000000002</v>
      </c>
      <c r="P510">
        <v>7</v>
      </c>
      <c r="Q510" t="s">
        <v>41</v>
      </c>
      <c r="R510">
        <v>7</v>
      </c>
      <c r="S510" t="s">
        <v>371</v>
      </c>
      <c r="T510">
        <v>7</v>
      </c>
      <c r="U510" t="s">
        <v>39</v>
      </c>
      <c r="V510" t="s">
        <v>32</v>
      </c>
    </row>
    <row r="511" spans="1:22" x14ac:dyDescent="0.3">
      <c r="A511" t="s">
        <v>671</v>
      </c>
      <c r="B511">
        <v>2024</v>
      </c>
      <c r="C511" t="s">
        <v>74</v>
      </c>
      <c r="D511" t="s">
        <v>69</v>
      </c>
      <c r="E511" t="s">
        <v>86</v>
      </c>
      <c r="F511" t="s">
        <v>70</v>
      </c>
      <c r="G511" t="s">
        <v>38</v>
      </c>
      <c r="H511" t="s">
        <v>28</v>
      </c>
      <c r="I511" t="s">
        <v>49</v>
      </c>
      <c r="J511">
        <v>15</v>
      </c>
      <c r="K511">
        <v>7.1</v>
      </c>
      <c r="L511">
        <v>7.6</v>
      </c>
      <c r="M511" t="s">
        <v>47</v>
      </c>
      <c r="N511">
        <v>0</v>
      </c>
      <c r="O511">
        <v>133.54</v>
      </c>
      <c r="P511">
        <v>4</v>
      </c>
      <c r="Q511" t="s">
        <v>28</v>
      </c>
      <c r="R511">
        <v>2</v>
      </c>
      <c r="S511" t="s">
        <v>41</v>
      </c>
      <c r="T511">
        <v>17.5</v>
      </c>
      <c r="U511" t="s">
        <v>41</v>
      </c>
      <c r="V511" t="s">
        <v>125</v>
      </c>
    </row>
    <row r="512" spans="1:22" x14ac:dyDescent="0.3">
      <c r="A512" t="s">
        <v>672</v>
      </c>
      <c r="B512">
        <v>2024</v>
      </c>
      <c r="C512" t="s">
        <v>34</v>
      </c>
      <c r="D512" t="s">
        <v>59</v>
      </c>
      <c r="E512" t="s">
        <v>25</v>
      </c>
      <c r="F512" t="s">
        <v>54</v>
      </c>
      <c r="G512" t="s">
        <v>55</v>
      </c>
      <c r="H512" t="s">
        <v>41</v>
      </c>
      <c r="I512" t="s">
        <v>49</v>
      </c>
      <c r="J512">
        <v>8</v>
      </c>
      <c r="K512">
        <v>2.2999999999999998</v>
      </c>
      <c r="L512">
        <v>-3.3</v>
      </c>
      <c r="M512" t="s">
        <v>47</v>
      </c>
      <c r="N512">
        <v>30</v>
      </c>
      <c r="O512">
        <v>13.3</v>
      </c>
      <c r="P512">
        <v>7</v>
      </c>
      <c r="Q512" t="s">
        <v>31</v>
      </c>
      <c r="R512">
        <v>4</v>
      </c>
      <c r="S512" t="s">
        <v>41</v>
      </c>
      <c r="T512">
        <v>12</v>
      </c>
      <c r="U512" t="s">
        <v>31</v>
      </c>
      <c r="V512" t="s">
        <v>51</v>
      </c>
    </row>
    <row r="513" spans="1:22" x14ac:dyDescent="0.3">
      <c r="A513" t="s">
        <v>673</v>
      </c>
      <c r="B513">
        <v>2025</v>
      </c>
      <c r="C513" t="s">
        <v>169</v>
      </c>
      <c r="D513" t="s">
        <v>89</v>
      </c>
      <c r="E513" t="s">
        <v>25</v>
      </c>
      <c r="F513" t="s">
        <v>75</v>
      </c>
      <c r="G513" t="s">
        <v>38</v>
      </c>
      <c r="H513" t="s">
        <v>31</v>
      </c>
      <c r="I513" t="s">
        <v>49</v>
      </c>
      <c r="J513">
        <v>11</v>
      </c>
      <c r="K513">
        <v>3</v>
      </c>
      <c r="L513">
        <v>-2.1</v>
      </c>
      <c r="M513" t="s">
        <v>30</v>
      </c>
      <c r="N513">
        <v>10</v>
      </c>
      <c r="O513">
        <v>72.06</v>
      </c>
      <c r="P513">
        <v>5</v>
      </c>
      <c r="Q513" t="s">
        <v>39</v>
      </c>
      <c r="R513">
        <v>5</v>
      </c>
      <c r="S513" t="s">
        <v>31</v>
      </c>
      <c r="T513">
        <v>67.2</v>
      </c>
      <c r="U513" t="s">
        <v>39</v>
      </c>
      <c r="V513" t="s">
        <v>51</v>
      </c>
    </row>
    <row r="514" spans="1:22" x14ac:dyDescent="0.3">
      <c r="A514" t="s">
        <v>674</v>
      </c>
      <c r="B514">
        <v>2025</v>
      </c>
      <c r="C514" t="s">
        <v>53</v>
      </c>
      <c r="D514" t="s">
        <v>63</v>
      </c>
      <c r="E514" t="s">
        <v>86</v>
      </c>
      <c r="F514" t="s">
        <v>105</v>
      </c>
      <c r="G514" t="s">
        <v>27</v>
      </c>
      <c r="H514" t="s">
        <v>28</v>
      </c>
      <c r="I514" t="s">
        <v>49</v>
      </c>
      <c r="J514">
        <v>22</v>
      </c>
      <c r="K514">
        <v>5.4</v>
      </c>
      <c r="L514">
        <v>7</v>
      </c>
      <c r="M514" t="s">
        <v>30</v>
      </c>
      <c r="N514">
        <v>0</v>
      </c>
      <c r="O514">
        <v>54.35</v>
      </c>
      <c r="P514">
        <v>7</v>
      </c>
      <c r="Q514" t="s">
        <v>31</v>
      </c>
      <c r="R514">
        <v>4</v>
      </c>
      <c r="S514" t="s">
        <v>31</v>
      </c>
      <c r="T514">
        <v>13.3</v>
      </c>
      <c r="U514" t="s">
        <v>28</v>
      </c>
      <c r="V514" t="s">
        <v>32</v>
      </c>
    </row>
    <row r="515" spans="1:22" x14ac:dyDescent="0.3">
      <c r="A515" t="s">
        <v>675</v>
      </c>
      <c r="B515">
        <v>2024</v>
      </c>
      <c r="C515" t="s">
        <v>74</v>
      </c>
      <c r="D515" t="s">
        <v>81</v>
      </c>
      <c r="E515" t="s">
        <v>25</v>
      </c>
      <c r="F515" t="s">
        <v>26</v>
      </c>
      <c r="G515" t="s">
        <v>38</v>
      </c>
      <c r="H515" t="s">
        <v>31</v>
      </c>
      <c r="I515" t="s">
        <v>49</v>
      </c>
      <c r="J515">
        <v>10</v>
      </c>
      <c r="K515">
        <v>1.7</v>
      </c>
      <c r="L515">
        <v>-13.1</v>
      </c>
      <c r="M515" t="s">
        <v>30</v>
      </c>
      <c r="N515">
        <v>17</v>
      </c>
      <c r="O515">
        <v>28.4</v>
      </c>
      <c r="P515">
        <v>4</v>
      </c>
      <c r="Q515" t="s">
        <v>31</v>
      </c>
      <c r="R515">
        <v>4</v>
      </c>
      <c r="S515" t="s">
        <v>31</v>
      </c>
      <c r="T515">
        <v>13.2</v>
      </c>
      <c r="U515" t="s">
        <v>41</v>
      </c>
      <c r="V515" t="s">
        <v>51</v>
      </c>
    </row>
    <row r="516" spans="1:22" x14ac:dyDescent="0.3">
      <c r="A516" t="s">
        <v>676</v>
      </c>
      <c r="B516">
        <v>2024</v>
      </c>
      <c r="C516" t="s">
        <v>74</v>
      </c>
      <c r="D516" t="s">
        <v>43</v>
      </c>
      <c r="E516" t="s">
        <v>25</v>
      </c>
      <c r="F516" t="s">
        <v>64</v>
      </c>
      <c r="G516" t="s">
        <v>45</v>
      </c>
      <c r="H516" t="s">
        <v>28</v>
      </c>
      <c r="I516" t="s">
        <v>65</v>
      </c>
      <c r="J516">
        <v>18</v>
      </c>
      <c r="K516">
        <v>4</v>
      </c>
      <c r="L516">
        <v>12.4</v>
      </c>
      <c r="M516" t="s">
        <v>30</v>
      </c>
      <c r="N516">
        <v>0</v>
      </c>
      <c r="O516">
        <v>70.069999999999993</v>
      </c>
      <c r="P516">
        <v>7</v>
      </c>
      <c r="Q516" t="s">
        <v>41</v>
      </c>
      <c r="R516">
        <v>4</v>
      </c>
      <c r="S516" t="s">
        <v>31</v>
      </c>
      <c r="T516">
        <v>5.7</v>
      </c>
      <c r="U516" t="s">
        <v>41</v>
      </c>
      <c r="V516" t="s">
        <v>32</v>
      </c>
    </row>
    <row r="517" spans="1:22" x14ac:dyDescent="0.3">
      <c r="A517" t="s">
        <v>677</v>
      </c>
      <c r="B517">
        <v>2026</v>
      </c>
      <c r="C517" t="s">
        <v>34</v>
      </c>
      <c r="D517" t="s">
        <v>63</v>
      </c>
      <c r="E517" t="s">
        <v>36</v>
      </c>
      <c r="F517" t="s">
        <v>70</v>
      </c>
      <c r="G517" t="s">
        <v>38</v>
      </c>
      <c r="H517" t="s">
        <v>31</v>
      </c>
      <c r="I517" t="s">
        <v>65</v>
      </c>
      <c r="J517">
        <v>11</v>
      </c>
      <c r="K517">
        <v>0</v>
      </c>
      <c r="L517">
        <v>15.6</v>
      </c>
      <c r="M517" t="s">
        <v>50</v>
      </c>
      <c r="N517">
        <v>23</v>
      </c>
      <c r="O517">
        <v>26.87</v>
      </c>
      <c r="P517">
        <v>5</v>
      </c>
      <c r="Q517" t="s">
        <v>28</v>
      </c>
      <c r="R517">
        <v>3</v>
      </c>
      <c r="S517" t="s">
        <v>28</v>
      </c>
      <c r="T517">
        <v>13.5</v>
      </c>
      <c r="U517" t="s">
        <v>41</v>
      </c>
      <c r="V517" t="s">
        <v>51</v>
      </c>
    </row>
    <row r="518" spans="1:22" x14ac:dyDescent="0.3">
      <c r="A518" t="s">
        <v>678</v>
      </c>
      <c r="B518">
        <v>2026</v>
      </c>
      <c r="C518" t="s">
        <v>68</v>
      </c>
      <c r="D518" t="s">
        <v>59</v>
      </c>
      <c r="E518" t="s">
        <v>82</v>
      </c>
      <c r="F518" t="s">
        <v>60</v>
      </c>
      <c r="G518" t="s">
        <v>38</v>
      </c>
      <c r="H518" t="s">
        <v>28</v>
      </c>
      <c r="I518" t="s">
        <v>61</v>
      </c>
      <c r="J518">
        <v>104</v>
      </c>
      <c r="K518">
        <v>26</v>
      </c>
      <c r="L518">
        <v>32.1</v>
      </c>
      <c r="M518" t="s">
        <v>50</v>
      </c>
      <c r="N518">
        <v>0</v>
      </c>
      <c r="O518">
        <v>139.03</v>
      </c>
      <c r="P518">
        <v>7</v>
      </c>
      <c r="Q518" t="s">
        <v>96</v>
      </c>
      <c r="R518">
        <v>5</v>
      </c>
      <c r="S518" t="s">
        <v>28</v>
      </c>
      <c r="T518">
        <v>7.3</v>
      </c>
      <c r="U518" t="s">
        <v>28</v>
      </c>
      <c r="V518" t="s">
        <v>72</v>
      </c>
    </row>
    <row r="519" spans="1:22" x14ac:dyDescent="0.3">
      <c r="A519" t="s">
        <v>679</v>
      </c>
      <c r="B519">
        <v>2026</v>
      </c>
      <c r="C519" t="s">
        <v>94</v>
      </c>
      <c r="D519" t="s">
        <v>63</v>
      </c>
      <c r="E519" t="s">
        <v>25</v>
      </c>
      <c r="F519" t="s">
        <v>54</v>
      </c>
      <c r="G519" t="s">
        <v>27</v>
      </c>
      <c r="H519" t="s">
        <v>31</v>
      </c>
      <c r="I519" t="s">
        <v>49</v>
      </c>
      <c r="J519">
        <v>11</v>
      </c>
      <c r="K519">
        <v>0.9</v>
      </c>
      <c r="L519">
        <v>1.7</v>
      </c>
      <c r="M519" t="s">
        <v>30</v>
      </c>
      <c r="N519">
        <v>0</v>
      </c>
      <c r="O519">
        <v>76</v>
      </c>
      <c r="P519">
        <v>5</v>
      </c>
      <c r="Q519" t="s">
        <v>39</v>
      </c>
      <c r="R519">
        <v>5</v>
      </c>
      <c r="S519" t="s">
        <v>31</v>
      </c>
      <c r="T519">
        <v>15.8</v>
      </c>
      <c r="U519" t="s">
        <v>28</v>
      </c>
      <c r="V519" t="s">
        <v>125</v>
      </c>
    </row>
    <row r="520" spans="1:22" x14ac:dyDescent="0.3">
      <c r="A520" t="s">
        <v>680</v>
      </c>
      <c r="B520">
        <v>2026</v>
      </c>
      <c r="C520" t="s">
        <v>196</v>
      </c>
      <c r="D520" t="s">
        <v>89</v>
      </c>
      <c r="E520" t="s">
        <v>25</v>
      </c>
      <c r="F520" t="s">
        <v>26</v>
      </c>
      <c r="G520" t="s">
        <v>27</v>
      </c>
      <c r="H520" t="s">
        <v>31</v>
      </c>
      <c r="I520" t="s">
        <v>71</v>
      </c>
      <c r="J520">
        <v>24</v>
      </c>
      <c r="K520">
        <v>6.1</v>
      </c>
      <c r="L520">
        <v>9.4</v>
      </c>
      <c r="M520" t="s">
        <v>30</v>
      </c>
      <c r="N520">
        <v>3</v>
      </c>
      <c r="O520">
        <v>133.26</v>
      </c>
      <c r="P520">
        <v>7</v>
      </c>
      <c r="Q520" t="s">
        <v>31</v>
      </c>
      <c r="R520">
        <v>4</v>
      </c>
      <c r="S520" t="s">
        <v>31</v>
      </c>
      <c r="T520">
        <v>8.9</v>
      </c>
      <c r="U520" t="s">
        <v>28</v>
      </c>
      <c r="V520" t="s">
        <v>51</v>
      </c>
    </row>
    <row r="521" spans="1:22" x14ac:dyDescent="0.3">
      <c r="A521" t="s">
        <v>681</v>
      </c>
      <c r="B521">
        <v>2025</v>
      </c>
      <c r="C521" t="s">
        <v>74</v>
      </c>
      <c r="D521" t="s">
        <v>81</v>
      </c>
      <c r="E521" t="s">
        <v>86</v>
      </c>
      <c r="F521" t="s">
        <v>26</v>
      </c>
      <c r="G521" t="s">
        <v>38</v>
      </c>
      <c r="H521" t="s">
        <v>31</v>
      </c>
      <c r="I521" t="s">
        <v>49</v>
      </c>
      <c r="J521">
        <v>21</v>
      </c>
      <c r="K521">
        <v>2.2999999999999998</v>
      </c>
      <c r="L521">
        <v>6.1</v>
      </c>
      <c r="M521" t="s">
        <v>30</v>
      </c>
      <c r="N521">
        <v>0</v>
      </c>
      <c r="O521">
        <v>37.9</v>
      </c>
      <c r="P521">
        <v>8</v>
      </c>
      <c r="Q521" t="s">
        <v>28</v>
      </c>
      <c r="R521">
        <v>6</v>
      </c>
      <c r="S521" t="s">
        <v>31</v>
      </c>
      <c r="T521">
        <v>7.5</v>
      </c>
      <c r="U521" t="s">
        <v>28</v>
      </c>
      <c r="V521" t="s">
        <v>32</v>
      </c>
    </row>
    <row r="522" spans="1:22" x14ac:dyDescent="0.3">
      <c r="A522" t="s">
        <v>682</v>
      </c>
      <c r="B522">
        <v>2026</v>
      </c>
      <c r="C522" t="s">
        <v>80</v>
      </c>
      <c r="D522" t="s">
        <v>156</v>
      </c>
      <c r="E522" t="s">
        <v>86</v>
      </c>
      <c r="F522" t="s">
        <v>75</v>
      </c>
      <c r="G522" t="s">
        <v>55</v>
      </c>
      <c r="H522" t="s">
        <v>31</v>
      </c>
      <c r="I522" t="s">
        <v>49</v>
      </c>
      <c r="J522">
        <v>8</v>
      </c>
      <c r="K522">
        <v>5.3</v>
      </c>
      <c r="L522">
        <v>0.7</v>
      </c>
      <c r="M522" t="s">
        <v>47</v>
      </c>
      <c r="N522">
        <v>0</v>
      </c>
      <c r="O522">
        <v>31.37</v>
      </c>
      <c r="P522">
        <v>7</v>
      </c>
      <c r="Q522" t="s">
        <v>41</v>
      </c>
      <c r="R522">
        <v>4</v>
      </c>
      <c r="S522" t="s">
        <v>41</v>
      </c>
      <c r="T522">
        <v>7.8</v>
      </c>
      <c r="U522" t="s">
        <v>28</v>
      </c>
      <c r="V522" t="s">
        <v>32</v>
      </c>
    </row>
    <row r="523" spans="1:22" x14ac:dyDescent="0.3">
      <c r="A523" t="s">
        <v>683</v>
      </c>
      <c r="B523">
        <v>2025</v>
      </c>
      <c r="C523" t="s">
        <v>53</v>
      </c>
      <c r="D523" t="s">
        <v>102</v>
      </c>
      <c r="E523" t="s">
        <v>36</v>
      </c>
      <c r="F523" t="s">
        <v>70</v>
      </c>
      <c r="G523" t="s">
        <v>27</v>
      </c>
      <c r="H523" t="s">
        <v>31</v>
      </c>
      <c r="I523" t="s">
        <v>49</v>
      </c>
      <c r="J523">
        <v>13</v>
      </c>
      <c r="K523">
        <v>5.2</v>
      </c>
      <c r="L523">
        <v>10.4</v>
      </c>
      <c r="M523" t="s">
        <v>30</v>
      </c>
      <c r="N523">
        <v>19</v>
      </c>
      <c r="O523">
        <v>28.71</v>
      </c>
      <c r="P523">
        <v>7</v>
      </c>
      <c r="Q523" t="s">
        <v>31</v>
      </c>
      <c r="R523">
        <v>5</v>
      </c>
      <c r="S523" t="s">
        <v>31</v>
      </c>
      <c r="T523">
        <v>5.0999999999999996</v>
      </c>
      <c r="U523" t="s">
        <v>31</v>
      </c>
      <c r="V523" t="s">
        <v>72</v>
      </c>
    </row>
    <row r="524" spans="1:22" x14ac:dyDescent="0.3">
      <c r="A524" t="s">
        <v>684</v>
      </c>
      <c r="B524">
        <v>2025</v>
      </c>
      <c r="C524" t="s">
        <v>117</v>
      </c>
      <c r="D524" t="s">
        <v>89</v>
      </c>
      <c r="E524" t="s">
        <v>36</v>
      </c>
      <c r="F524" t="s">
        <v>64</v>
      </c>
      <c r="G524" t="s">
        <v>55</v>
      </c>
      <c r="H524" t="s">
        <v>31</v>
      </c>
      <c r="I524" t="s">
        <v>65</v>
      </c>
      <c r="J524">
        <v>10</v>
      </c>
      <c r="K524">
        <v>1.7</v>
      </c>
      <c r="L524">
        <v>0.4</v>
      </c>
      <c r="M524" t="s">
        <v>30</v>
      </c>
      <c r="N524">
        <v>1</v>
      </c>
      <c r="O524">
        <v>67.56</v>
      </c>
      <c r="P524">
        <v>7</v>
      </c>
      <c r="Q524" t="s">
        <v>31</v>
      </c>
      <c r="R524">
        <v>5</v>
      </c>
      <c r="S524" t="s">
        <v>41</v>
      </c>
      <c r="T524">
        <v>12.2</v>
      </c>
      <c r="U524" t="s">
        <v>28</v>
      </c>
      <c r="V524" t="s">
        <v>51</v>
      </c>
    </row>
  </sheetData>
  <phoneticPr fontId="18" type="noConversion"/>
  <conditionalFormatting sqref="G2">
    <cfRule type="duplicateValues" dxfId="2" priority="2"/>
  </conditionalFormatting>
  <conditionalFormatting sqref="A2:A524">
    <cfRule type="duplicateValues" dxfId="1" priority="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43B4A36-854E-40B5-B2FB-E710AEF409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 CARDS AND PIVOT TABLES</vt:lpstr>
      <vt:lpstr>Dashboard</vt:lpstr>
      <vt:lpstr>AI_Agent_Adoption_Workplace_Pro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Essampelly Vaishnavi</cp:lastModifiedBy>
  <dcterms:created xsi:type="dcterms:W3CDTF">2026-10-29T05:44:51Z</dcterms:created>
  <dcterms:modified xsi:type="dcterms:W3CDTF">2026-10-29T16:55:16Z</dcterms:modified>
</cp:coreProperties>
</file>